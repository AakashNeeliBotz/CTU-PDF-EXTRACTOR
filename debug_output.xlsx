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2" activeTab="5" autoFilterDateGrouping="1"/>
  </bookViews>
  <sheets>
    <sheet xmlns:r="http://schemas.openxmlformats.org/officeDocument/2006/relationships" name="Data Sources" sheetId="1" state="visible" r:id="rId1"/>
    <sheet xmlns:r="http://schemas.openxmlformats.org/officeDocument/2006/relationships" name="Data to be captured" sheetId="2" state="visible" r:id="rId2"/>
    <sheet xmlns:r="http://schemas.openxmlformats.org/officeDocument/2006/relationships" name="RE Potential" sheetId="3" state="visible" r:id="rId3"/>
    <sheet xmlns:r="http://schemas.openxmlformats.org/officeDocument/2006/relationships" name="Margin" sheetId="4" state="visible" r:id="rId4"/>
    <sheet xmlns:r="http://schemas.openxmlformats.org/officeDocument/2006/relationships" name="Non RE proposed RE Integration" sheetId="5" state="visible" r:id="rId5"/>
    <sheet xmlns:r="http://schemas.openxmlformats.org/officeDocument/2006/relationships" name="Transformation Capacity" sheetId="6" state="visible" r:id="rId6"/>
    <sheet xmlns:r="http://schemas.openxmlformats.org/officeDocument/2006/relationships" name="Element Status" sheetId="7" state="visible" r:id="rId7"/>
  </sheets>
  <definedNames/>
  <calcPr calcId="191029" fullCalcOnLoad="1"/>
</workbook>
</file>

<file path=xl/styles.xml><?xml version="1.0" encoding="utf-8"?>
<styleSheet xmlns="http://schemas.openxmlformats.org/spreadsheetml/2006/main">
  <numFmts count="0"/>
  <fonts count="10">
    <font>
      <name val="Adani Regular"/>
      <family val="2"/>
      <color theme="1"/>
      <sz val="10"/>
    </font>
    <font>
      <name val="Adani Regular"/>
      <family val="2"/>
      <color theme="1"/>
      <sz val="10"/>
    </font>
    <font>
      <name val="Adani Regular"/>
      <b val="1"/>
      <color theme="1"/>
      <sz val="12"/>
    </font>
    <font>
      <name val="Adani Regular"/>
      <family val="2"/>
      <b val="1"/>
      <color theme="1"/>
      <sz val="12"/>
    </font>
    <font>
      <name val="Adani Regular"/>
      <b val="1"/>
      <color theme="1"/>
      <sz val="10"/>
    </font>
    <font>
      <name val="Adani Regular"/>
      <family val="2"/>
      <color theme="10"/>
      <sz val="10"/>
      <u val="single"/>
    </font>
    <font>
      <name val="Adani Regular"/>
      <charset val="1"/>
      <family val="2"/>
      <b val="1"/>
      <color rgb="FFFFFFFF"/>
      <sz val="11"/>
    </font>
    <font>
      <name val="Adani Regular"/>
      <charset val="1"/>
      <family val="2"/>
      <b val="1"/>
      <color rgb="FFFFFFFF"/>
      <sz val="10"/>
    </font>
    <font>
      <name val="Adani Regular"/>
      <charset val="1"/>
      <family val="2"/>
      <color theme="1"/>
      <sz val="9"/>
    </font>
    <font>
      <name val="Adani Regular"/>
      <b val="1"/>
      <sz val="10"/>
    </font>
  </fonts>
  <fills count="6">
    <fill>
      <patternFill/>
    </fill>
    <fill>
      <patternFill patternType="gray125"/>
    </fill>
    <fill>
      <patternFill patternType="solid">
        <fgColor theme="7" tint="0.7999816888943144"/>
        <bgColor indexed="64"/>
      </patternFill>
    </fill>
    <fill>
      <patternFill patternType="solid">
        <fgColor theme="6" tint="0.5999938962981048"/>
        <bgColor indexed="64"/>
      </patternFill>
    </fill>
    <fill>
      <patternFill patternType="solid">
        <fgColor theme="4" tint="0.7999816888943144"/>
        <bgColor indexed="64"/>
      </patternFill>
    </fill>
    <fill>
      <patternFill patternType="solid">
        <fgColor rgb="FF0000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1" fillId="0" borderId="0"/>
    <xf numFmtId="9" fontId="1" fillId="0" borderId="0"/>
    <xf numFmtId="0" fontId="5" fillId="0" borderId="0"/>
  </cellStyleXfs>
  <cellXfs count="42">
    <xf numFmtId="0" fontId="0" fillId="0" borderId="0" pivotButton="0" quotePrefix="0" xfId="0"/>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3" fillId="2" borderId="4" applyAlignment="1" pivotButton="0" quotePrefix="0" xfId="0">
      <alignment horizontal="centerContinuous" vertical="center" wrapText="1"/>
    </xf>
    <xf numFmtId="0" fontId="2" fillId="2" borderId="1" applyAlignment="1" pivotButton="0" quotePrefix="0" xfId="0">
      <alignment horizontal="centerContinuous" vertical="center" wrapText="1"/>
    </xf>
    <xf numFmtId="0" fontId="3" fillId="2" borderId="1" applyAlignment="1" pivotButton="0" quotePrefix="0" xfId="0">
      <alignment horizontal="center" vertical="center" wrapText="1"/>
    </xf>
    <xf numFmtId="0" fontId="2" fillId="2" borderId="4" applyAlignment="1" pivotButton="0" quotePrefix="0" xfId="0">
      <alignment horizontal="center" vertical="center" wrapText="1"/>
    </xf>
    <xf numFmtId="0" fontId="2" fillId="2" borderId="1" applyAlignment="1" pivotButton="0" quotePrefix="0" xfId="0">
      <alignment horizontal="centerContinuous" vertical="distributed" wrapText="1"/>
    </xf>
    <xf numFmtId="0" fontId="2" fillId="2" borderId="2" applyAlignment="1" pivotButton="0" quotePrefix="0" xfId="0">
      <alignment horizontal="centerContinuous" vertical="distributed" wrapText="1"/>
    </xf>
    <xf numFmtId="0" fontId="2" fillId="2" borderId="5" applyAlignment="1" pivotButton="0" quotePrefix="0" xfId="0">
      <alignment horizontal="center" vertical="center" wrapText="1"/>
    </xf>
    <xf numFmtId="0" fontId="2" fillId="2" borderId="3" applyAlignment="1" pivotButton="0" quotePrefix="0" xfId="0">
      <alignment horizontal="center" vertical="center" wrapText="1"/>
    </xf>
    <xf numFmtId="0" fontId="4" fillId="3" borderId="4" applyAlignment="1" pivotButton="0" quotePrefix="0" xfId="0">
      <alignment horizontal="center" vertical="center" wrapText="1"/>
    </xf>
    <xf numFmtId="0" fontId="0" fillId="0" borderId="0" applyAlignment="1" pivotButton="0" quotePrefix="0" xfId="0">
      <alignment wrapText="1"/>
    </xf>
    <xf numFmtId="0" fontId="0" fillId="4" borderId="4" pivotButton="0" quotePrefix="0" xfId="0"/>
    <xf numFmtId="0" fontId="0" fillId="0" borderId="4" pivotButton="0" quotePrefix="0" xfId="0"/>
    <xf numFmtId="14" fontId="0" fillId="0" borderId="4" pivotButton="0" quotePrefix="0" xfId="0"/>
    <xf numFmtId="9" fontId="0" fillId="0" borderId="4" pivotButton="0" quotePrefix="0" xfId="1"/>
    <xf numFmtId="0" fontId="2" fillId="2" borderId="2" applyAlignment="1" pivotButton="0" quotePrefix="0" xfId="0">
      <alignment horizontal="centerContinuous" vertical="center" wrapText="1"/>
    </xf>
    <xf numFmtId="0" fontId="2" fillId="2" borderId="6" applyAlignment="1" pivotButton="0" quotePrefix="0" xfId="0">
      <alignment horizontal="centerContinuous" vertical="center"/>
    </xf>
    <xf numFmtId="0" fontId="2" fillId="2" borderId="7" applyAlignment="1" pivotButton="0" quotePrefix="0" xfId="0">
      <alignment horizontal="centerContinuous" vertical="center"/>
    </xf>
    <xf numFmtId="0" fontId="2" fillId="2" borderId="8" applyAlignment="1" pivotButton="0" quotePrefix="0" xfId="0">
      <alignment horizontal="centerContinuous" vertical="center"/>
    </xf>
    <xf numFmtId="0" fontId="7" fillId="5" borderId="9" applyAlignment="1" pivotButton="0" quotePrefix="0" xfId="0">
      <alignment wrapText="1"/>
    </xf>
    <xf numFmtId="0" fontId="6" fillId="5" borderId="9" applyAlignment="1" pivotButton="0" quotePrefix="0" xfId="0">
      <alignment horizontal="center"/>
    </xf>
    <xf numFmtId="0" fontId="0" fillId="0" borderId="9" applyAlignment="1" pivotButton="0" quotePrefix="0" xfId="0">
      <alignment horizontal="center"/>
    </xf>
    <xf numFmtId="0" fontId="7" fillId="5" borderId="9"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wrapText="1"/>
    </xf>
    <xf numFmtId="0" fontId="8" fillId="0" borderId="10" applyAlignment="1" pivotButton="0" quotePrefix="0" xfId="0">
      <alignment wrapText="1"/>
    </xf>
    <xf numFmtId="0" fontId="5" fillId="0" borderId="10" applyAlignment="1" pivotButton="0" quotePrefix="0" xfId="2">
      <alignment wrapText="1"/>
    </xf>
    <xf numFmtId="0" fontId="7" fillId="5" borderId="11" applyAlignment="1" pivotButton="0" quotePrefix="0" xfId="0">
      <alignment wrapText="1"/>
    </xf>
    <xf numFmtId="0" fontId="0" fillId="0" borderId="10" applyAlignment="1" pivotButton="0" quotePrefix="0" xfId="0">
      <alignment wrapText="1"/>
    </xf>
    <xf numFmtId="0" fontId="5" fillId="0" borderId="0" applyAlignment="1" pivotButton="0" quotePrefix="0" xfId="2">
      <alignment wrapText="1"/>
    </xf>
    <xf numFmtId="0" fontId="0" fillId="0" borderId="11" applyAlignment="1" pivotButton="0" quotePrefix="0" xfId="0">
      <alignment horizontal="center"/>
    </xf>
    <xf numFmtId="0" fontId="0" fillId="0" borderId="12" applyAlignment="1" pivotButton="0" quotePrefix="0" xfId="0">
      <alignment wrapText="1"/>
    </xf>
    <xf numFmtId="0" fontId="0" fillId="0" borderId="1" pivotButton="0" quotePrefix="0" xfId="0"/>
    <xf numFmtId="0" fontId="0" fillId="0" borderId="4" applyAlignment="1" pivotButton="0" quotePrefix="0" xfId="0">
      <alignment horizontal="center"/>
    </xf>
    <xf numFmtId="0" fontId="5" fillId="0" borderId="4" applyAlignment="1" pivotButton="0" quotePrefix="0" xfId="2">
      <alignment wrapText="1"/>
    </xf>
    <xf numFmtId="0" fontId="3" fillId="2" borderId="3" applyAlignment="1" pivotButton="0" quotePrefix="0" xfId="0">
      <alignment horizontal="center" vertical="center" wrapText="1"/>
    </xf>
    <xf numFmtId="0" fontId="9" fillId="0" borderId="0" applyAlignment="1" pivotButton="0" quotePrefix="0" xfId="0">
      <alignment horizontal="center" vertical="center" wrapText="1"/>
    </xf>
    <xf numFmtId="2" fontId="0" fillId="0" borderId="4" pivotButton="0" quotePrefix="0" xfId="0"/>
    <xf numFmtId="2" fontId="0" fillId="0" borderId="0" pivotButton="0" quotePrefix="0" xfId="0"/>
    <xf numFmtId="0" fontId="0" fillId="4" borderId="4" applyAlignment="1" pivotButton="0" quotePrefix="0" xfId="0">
      <alignment wrapText="1"/>
    </xf>
  </cellXfs>
  <cellStyles count="3">
    <cellStyle name="Normal" xfId="0" builtinId="0"/>
    <cellStyle name="Percent" xfId="1" builtinId="5"/>
    <cellStyle name="Hyperlink" xfId="2"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ctuil.in/regenerators" TargetMode="External" Id="rId1"/><Relationship Type="http://schemas.openxmlformats.org/officeDocument/2006/relationships/hyperlink" Target="https://www.ctuil.in/reallocation_meetings" TargetMode="External" Id="rId2"/><Relationship Type="http://schemas.openxmlformats.org/officeDocument/2006/relationships/hyperlink" Target="https://www.ctuil.in/bidding-calendar" TargetMode="External" Id="rId3"/><Relationship Type="http://schemas.openxmlformats.org/officeDocument/2006/relationships/hyperlink" Target="https://cea.nic.in/transmission-reports/?lang=en" TargetMode="External" Id="rId4"/><Relationship Type="http://schemas.openxmlformats.org/officeDocument/2006/relationships/hyperlink" Target="https://www.ctuil.in/uploads/assets/175040253742List%20of%20applicant%20due%20for%20complaince%20June%20to%20Aug'25.pdf" TargetMode="External" Id="rId5"/><Relationship Type="http://schemas.openxmlformats.org/officeDocument/2006/relationships/hyperlink" Target="https://www.ctuil.in/connectivityannexures" TargetMode="External" Id="rId6"/><Relationship Type="http://schemas.openxmlformats.org/officeDocument/2006/relationships/hyperlink" Target="https://www.ctuil.in/renewable-energy" TargetMode="External" Id="rId7"/><Relationship Type="http://schemas.openxmlformats.org/officeDocument/2006/relationships/hyperlink" Target="https://cea.nic.in/psp___a_i/transmission-system-for-integration-of-over-500-gw-non-fossil-capacity-by-2030/?lang=en" TargetMode="External" Id="rId8"/><Relationship Type="http://schemas.openxmlformats.org/officeDocument/2006/relationships/hyperlink" Target="https://cea.nic.in/comm-trans/national-committee-on-transmission/?lang=en" TargetMode="External" Id="rId9"/><Relationship Type="http://schemas.openxmlformats.org/officeDocument/2006/relationships/hyperlink" Target="https://cea.nic.in/transmission-reports/?lang=en" TargetMode="External" Id="rId10"/><Relationship Type="http://schemas.openxmlformats.org/officeDocument/2006/relationships/hyperlink" Target="https://ctuil.in/substation-bulk-consumers" TargetMode="External" Id="rId11"/><Relationship Type="http://schemas.openxmlformats.org/officeDocument/2006/relationships/hyperlink" Target="https://globalwindatlas.info/en/" TargetMode="External" Id="rId12"/><Relationship Type="http://schemas.openxmlformats.org/officeDocument/2006/relationships/hyperlink" Target="https://openinframap.org/" TargetMode="External" Id="rId13"/></Relationships>
</file>

<file path=xl/worksheets/sheet1.xml><?xml version="1.0" encoding="utf-8"?>
<worksheet xmlns="http://schemas.openxmlformats.org/spreadsheetml/2006/main">
  <sheetPr>
    <outlinePr summaryBelow="1" summaryRight="1"/>
    <pageSetUpPr/>
  </sheetPr>
  <dimension ref="B2:D22"/>
  <sheetViews>
    <sheetView zoomScaleNormal="90" workbookViewId="0">
      <selection activeCell="C3" sqref="C3"/>
    </sheetView>
  </sheetViews>
  <sheetFormatPr baseColWidth="8" defaultRowHeight="12.5"/>
  <cols>
    <col width="9.1796875" customWidth="1" style="25" min="2" max="2"/>
    <col width="116.453125" customWidth="1" style="12" min="3" max="3"/>
  </cols>
  <sheetData>
    <row r="2" ht="26" customHeight="1">
      <c r="B2" s="22" t="inlineStr">
        <is>
          <t>SN</t>
        </is>
      </c>
      <c r="C2" s="21" t="inlineStr">
        <is>
          <t>Connectivity Application Status</t>
        </is>
      </c>
      <c r="D2" s="29" t="inlineStr">
        <is>
          <t>Frequency</t>
        </is>
      </c>
    </row>
    <row r="3">
      <c r="B3" s="23" t="n">
        <v>1</v>
      </c>
      <c r="C3" s="27" t="inlineStr">
        <is>
          <t>CTU | Central Transmission Utility of India Limited CMETS (Agenda and Minutes: Region wise) link:https://ctuil.in/ists-consultation-meeting</t>
        </is>
      </c>
      <c r="D3" s="14" t="inlineStr">
        <is>
          <t>Daily</t>
        </is>
      </c>
    </row>
    <row r="4" ht="23" customHeight="1">
      <c r="B4" s="23" t="n">
        <v>2</v>
      </c>
      <c r="C4" s="27" t="inlineStr">
        <is>
          <t>CTU | Central Transmission Utility of India Limited JCC (Region wise as per document release Agenda/Minutes) link  https://ctuil.in/ists-joint-coordination-meeting</t>
        </is>
      </c>
      <c r="D4" s="14" t="inlineStr">
        <is>
          <t>Daily</t>
        </is>
      </c>
    </row>
    <row r="5">
      <c r="B5" s="23" t="n">
        <v>3</v>
      </c>
      <c r="C5" s="28" t="inlineStr">
        <is>
          <t>Status of effectiveness of connectivity granted to RE generators (Effective date of connectivity wise) link</t>
        </is>
      </c>
      <c r="D5" s="14" t="inlineStr">
        <is>
          <t>Daily</t>
        </is>
      </c>
    </row>
    <row r="6">
      <c r="B6" s="23" t="n">
        <v>4</v>
      </c>
      <c r="C6" s="28" t="inlineStr">
        <is>
          <t>CTU | Central Transmission Utility of India Limited Re-allocation meetings (Agenda and Minutes: Region wise) link</t>
        </is>
      </c>
      <c r="D6" s="14" t="inlineStr">
        <is>
          <t>Weekly</t>
        </is>
      </c>
    </row>
    <row r="7">
      <c r="B7" s="23" t="n">
        <v>5</v>
      </c>
      <c r="C7" s="28" t="inlineStr">
        <is>
          <t>CTU | Central Transmission Utility of India Limited Bidding Calendar link</t>
        </is>
      </c>
      <c r="D7" s="14" t="inlineStr">
        <is>
          <t>Weekly</t>
        </is>
      </c>
    </row>
    <row r="8">
      <c r="B8" s="23" t="n">
        <v>6</v>
      </c>
      <c r="C8" s="28" t="inlineStr">
        <is>
          <t>Transmission Reports - Central Electricity Authority TBCB report from CEA transmission (monthly comparison) link</t>
        </is>
      </c>
      <c r="D8" s="14" t="inlineStr">
        <is>
          <t>Daily</t>
        </is>
      </c>
    </row>
    <row r="9">
      <c r="B9" s="23" t="n">
        <v>7</v>
      </c>
      <c r="C9" s="28" t="inlineStr">
        <is>
          <t>CTUIL (OPEN ACCESS) (Compliance of Land and Financial Closure) link</t>
        </is>
      </c>
      <c r="D9" s="14" t="inlineStr">
        <is>
          <t>Daily</t>
        </is>
      </c>
    </row>
    <row r="10">
      <c r="B10" s="23" t="n">
        <v>8</v>
      </c>
      <c r="C10" s="28" t="inlineStr">
        <is>
          <t>Monitoring of Connectivity (all 3 Annexures and monthly document release comparison) link</t>
        </is>
      </c>
      <c r="D10" s="14" t="inlineStr">
        <is>
          <t>Daily</t>
        </is>
      </c>
    </row>
    <row r="12" ht="26" customHeight="1">
      <c r="B12" s="24" t="inlineStr">
        <is>
          <t>SN</t>
        </is>
      </c>
      <c r="C12" s="21" t="inlineStr">
        <is>
          <t>Substation and Transmission Tracking</t>
        </is>
      </c>
      <c r="D12" s="29" t="inlineStr">
        <is>
          <t>Frequency</t>
        </is>
      </c>
    </row>
    <row r="13" ht="25" customHeight="1">
      <c r="B13" s="23" t="n">
        <v>9</v>
      </c>
      <c r="C13" s="28" t="inlineStr">
        <is>
          <t>(Status of allocation of bays at ISTS substations for connectivity grantees, Connectivity margins at existing ISTS (non RE) substations for future RE integration and Connectivity Margin in ISTS RE Substations available by Mar-2030) link</t>
        </is>
      </c>
      <c r="D13" s="14" t="inlineStr">
        <is>
          <t>Weekly</t>
        </is>
      </c>
    </row>
    <row r="14">
      <c r="B14" s="23" t="inlineStr">
        <is>
          <t>10a</t>
        </is>
      </c>
      <c r="C14" s="28" t="inlineStr">
        <is>
          <t>Potential RE Zones Report link</t>
        </is>
      </c>
      <c r="D14" s="14" t="inlineStr">
        <is>
          <t>Weekly</t>
        </is>
      </c>
    </row>
    <row r="15" ht="25" customHeight="1">
      <c r="B15" s="23" t="inlineStr">
        <is>
          <t>10b</t>
        </is>
      </c>
      <c r="C15" s="31" t="inlineStr">
        <is>
          <t>NCT (Agenda and Minutes Summary and Comparison of Scheme wise elements) link
Link: https://cea.nic.in/comm-trans/national-committee-on-transmission/?lang=en</t>
        </is>
      </c>
      <c r="D15" s="14" t="inlineStr">
        <is>
          <t>Daily</t>
        </is>
      </c>
    </row>
    <row r="16" ht="62.5" customHeight="1">
      <c r="B16" s="23" t="inlineStr">
        <is>
          <t>10c</t>
        </is>
      </c>
      <c r="C16" s="30" t="inlineStr">
        <is>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is>
      </c>
      <c r="D16" s="14" t="inlineStr">
        <is>
          <t>Daily</t>
        </is>
      </c>
    </row>
    <row r="17" ht="37.5" customHeight="1">
      <c r="B17" s="23" t="inlineStr">
        <is>
          <t>10d</t>
        </is>
      </c>
      <c r="C17" s="28" t="inlineStr">
        <is>
          <t>CEA monthly transmission reports: (track status for tender elements timelines from 1) CEA Monthly report for actual physical progress of elements and 2) Actual COD from completion report)
CEA https://cea.nic.in/transmission-reports/?lang=en</t>
        </is>
      </c>
      <c r="D17" s="14" t="inlineStr">
        <is>
          <t>Daily</t>
        </is>
      </c>
    </row>
    <row r="18">
      <c r="B18" s="23" t="inlineStr">
        <is>
          <t>10e</t>
        </is>
      </c>
      <c r="C18" s="30" t="inlineStr">
        <is>
          <t>Map of the above Section 2 data to be created for review and edit by users</t>
        </is>
      </c>
      <c r="D18" s="14" t="n"/>
    </row>
    <row r="19">
      <c r="B19" s="23" t="n">
        <v>11</v>
      </c>
      <c r="C19" s="28" t="inlineStr">
        <is>
          <t>Bulk Consumers and Green Hydrogen link</t>
        </is>
      </c>
      <c r="D19" s="14" t="inlineStr">
        <is>
          <t>Weekly</t>
        </is>
      </c>
    </row>
    <row r="20" ht="25" customHeight="1">
      <c r="B20" s="32" t="n">
        <v>12</v>
      </c>
      <c r="C20" s="33" t="inlineStr">
        <is>
          <t>CEA: transmission schemes, substations (transformation capacity) and transmission lines published each month on CEA monthly reports section under transmission.</t>
        </is>
      </c>
      <c r="D20" s="34" t="inlineStr">
        <is>
          <t>Weekly</t>
        </is>
      </c>
    </row>
    <row r="21">
      <c r="B21" s="35" t="n">
        <v>13</v>
      </c>
      <c r="C21" s="36" t="inlineStr">
        <is>
          <t>Global Wind Atlas (India Map Visualization)</t>
        </is>
      </c>
      <c r="D21" s="34" t="inlineStr">
        <is>
          <t>Weekly</t>
        </is>
      </c>
    </row>
    <row r="22">
      <c r="B22" s="35" t="n">
        <v>14</v>
      </c>
      <c r="C22" s="36" t="inlineStr">
        <is>
          <t>Open Infrastructure Map (India Map Visualization)</t>
        </is>
      </c>
      <c r="D22" s="34" t="inlineStr">
        <is>
          <t>Weekly</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3" r:id="rId7"/>
    <hyperlink xmlns:r="http://schemas.openxmlformats.org/officeDocument/2006/relationships" ref="C14" r:id="rId8"/>
    <hyperlink xmlns:r="http://schemas.openxmlformats.org/officeDocument/2006/relationships" ref="C15" display="https://cea.nic.in/comm-trans/national-committee-on-transmission/?lang=en" r:id="rId9"/>
    <hyperlink xmlns:r="http://schemas.openxmlformats.org/officeDocument/2006/relationships" ref="C17" display="https://cea.nic.in/transmission-reports/?lang=en" r:id="rId10"/>
    <hyperlink xmlns:r="http://schemas.openxmlformats.org/officeDocument/2006/relationships" ref="C19" r:id="rId11"/>
    <hyperlink xmlns:r="http://schemas.openxmlformats.org/officeDocument/2006/relationships" ref="C21" display="Global Wind Atlas" r:id="rId12"/>
    <hyperlink xmlns:r="http://schemas.openxmlformats.org/officeDocument/2006/relationships" ref="C22" location="8.12/23.96/70.256" display="Open Infrastructure Map" r:id="rId1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AU9"/>
  <sheetViews>
    <sheetView topLeftCell="D2" workbookViewId="0">
      <selection activeCell="J2" sqref="J2"/>
    </sheetView>
  </sheetViews>
  <sheetFormatPr baseColWidth="8" defaultRowHeight="12.5"/>
  <cols>
    <col width="41.26953125" customWidth="1" min="1" max="1"/>
    <col width="10.7265625" customWidth="1" min="5" max="5"/>
    <col width="15.1796875" customWidth="1" min="6" max="6"/>
    <col width="13" customWidth="1" min="9" max="10"/>
    <col width="24.54296875" bestFit="1" customWidth="1" min="11" max="11"/>
    <col width="15.1796875" bestFit="1" customWidth="1" min="12" max="12"/>
    <col width="15.1796875" customWidth="1" min="13" max="15"/>
    <col width="14" customWidth="1" min="17" max="17"/>
    <col width="10.54296875" customWidth="1" min="18" max="18"/>
    <col width="15.7265625" customWidth="1" min="30" max="30"/>
    <col width="11.36328125" customWidth="1" min="31" max="31"/>
    <col width="25.1796875" bestFit="1" customWidth="1" min="32" max="32"/>
    <col width="16" bestFit="1" customWidth="1" min="33" max="33"/>
    <col width="20.26953125" bestFit="1" customWidth="1" min="34" max="34"/>
    <col width="23.26953125" bestFit="1" customWidth="1" min="35" max="35"/>
    <col width="16" customWidth="1" min="36" max="37"/>
    <col width="8" customWidth="1" min="38" max="38"/>
    <col width="10.453125" customWidth="1" min="39" max="39"/>
    <col width="13.54296875" customWidth="1" min="40" max="40"/>
    <col width="13.7265625" customWidth="1" min="41" max="41"/>
    <col width="11.54296875" customWidth="1" min="42" max="43"/>
    <col hidden="1" width="10.81640625" customWidth="1" min="44" max="44"/>
    <col hidden="1" width="13" customWidth="1" min="45" max="45"/>
    <col hidden="1" width="18.1796875" customWidth="1" min="46" max="46"/>
  </cols>
  <sheetData>
    <row r="2" ht="89.25" customHeight="1">
      <c r="B2" s="7" t="inlineStr">
        <is>
          <t>Sr.no.</t>
        </is>
      </c>
      <c r="C2" s="1" t="inlineStr">
        <is>
          <t>Region</t>
        </is>
      </c>
      <c r="D2" s="1" t="inlineStr">
        <is>
          <t>State</t>
        </is>
      </c>
      <c r="E2" s="1" t="inlineStr">
        <is>
          <t>Substation</t>
        </is>
      </c>
      <c r="F2" s="1" t="inlineStr">
        <is>
          <t>Coordinates</t>
        </is>
      </c>
      <c r="G2" s="1" t="inlineStr">
        <is>
          <t>Name of Developers</t>
        </is>
      </c>
      <c r="H2" s="1" t="inlineStr">
        <is>
          <t>Group</t>
        </is>
      </c>
      <c r="I2" s="1" t="inlineStr">
        <is>
          <t>GNA/ST II Application ID</t>
        </is>
      </c>
      <c r="J2" s="1" t="inlineStr">
        <is>
          <t>LTA Application ID</t>
        </is>
      </c>
      <c r="K2" s="1" t="inlineStr">
        <is>
          <t>Application ID under Enhancement 5.2 or revision</t>
        </is>
      </c>
      <c r="L2" s="1" t="inlineStr">
        <is>
          <t>CMETS GNA Approved</t>
        </is>
      </c>
      <c r="M2" s="1" t="inlineStr">
        <is>
          <t>CMETS LTA Approved</t>
        </is>
      </c>
      <c r="N2" s="1" t="inlineStr">
        <is>
          <t>CMETS GNA Meeting Date</t>
        </is>
      </c>
      <c r="O2" s="1" t="inlineStr">
        <is>
          <t>CMETS LTA Meeting Date</t>
        </is>
      </c>
      <c r="P2" s="1" t="inlineStr">
        <is>
          <t>Type</t>
        </is>
      </c>
      <c r="Q2" s="1" t="inlineStr">
        <is>
          <t>Application Quantum (MW)(ST II)</t>
        </is>
      </c>
      <c r="R2" s="1" t="inlineStr">
        <is>
          <t>Granted  Quantum GNA/LTA(MW)</t>
        </is>
      </c>
      <c r="S2" s="4" t="inlineStr">
        <is>
          <t>Installed/Break-up Capacity (MW)</t>
        </is>
      </c>
      <c r="T2" s="4" t="n"/>
      <c r="U2" s="4" t="n"/>
      <c r="V2" s="18" t="inlineStr">
        <is>
          <t xml:space="preserve">Battery </t>
        </is>
      </c>
      <c r="W2" s="19" t="n"/>
      <c r="X2" s="20" t="n"/>
      <c r="Y2" s="18" t="inlineStr">
        <is>
          <t>PSP</t>
        </is>
      </c>
      <c r="Z2" s="19" t="n"/>
      <c r="AA2" s="19" t="n"/>
      <c r="AB2" s="3" t="inlineStr">
        <is>
          <t>Commissioned</t>
        </is>
      </c>
      <c r="AC2" s="3" t="n"/>
      <c r="AD2" s="1" t="inlineStr">
        <is>
          <t>Application/Submission Date</t>
        </is>
      </c>
      <c r="AE2" s="1" t="inlineStr">
        <is>
          <t>Mode(Criteria for applying)</t>
        </is>
      </c>
      <c r="AF2" s="1" t="inlineStr">
        <is>
          <t>Applied Start of Connectivity sought by developer date( start date of connectivity as per the application)</t>
        </is>
      </c>
      <c r="AG2" s="5" t="inlineStr">
        <is>
          <t>GNA Operationalization Date</t>
        </is>
      </c>
      <c r="AH2" s="5" t="inlineStr">
        <is>
          <t>GNA Operationalization (Yes/No)</t>
        </is>
      </c>
      <c r="AI2" s="5" t="inlineStr">
        <is>
          <t>Date from which additional capacity is to be added</t>
        </is>
      </c>
      <c r="AJ2" s="5" t="inlineStr">
        <is>
          <t>Nature of Applicant</t>
        </is>
      </c>
      <c r="AK2" s="37" t="inlineStr">
        <is>
          <t>Status of application(Withdrawn / granted. Revoked.)</t>
        </is>
      </c>
      <c r="AL2" s="10" t="inlineStr">
        <is>
          <t>Voltage level</t>
        </is>
      </c>
      <c r="AM2" s="1" t="inlineStr">
        <is>
          <t>Bay No</t>
        </is>
      </c>
      <c r="AN2" s="1" t="inlineStr">
        <is>
          <t>CTS Element Unique Code</t>
        </is>
      </c>
      <c r="AO2" s="1" t="inlineStr">
        <is>
          <t>ATS Element Unique Code</t>
        </is>
      </c>
      <c r="AP2" s="1" t="inlineStr">
        <is>
          <t>DTL Element Code Unique</t>
        </is>
      </c>
      <c r="AQ2" s="1" t="inlineStr">
        <is>
          <t>Date of Last Element Unique Code</t>
        </is>
      </c>
      <c r="AR2" s="1" t="inlineStr">
        <is>
          <t>In-principle Grant</t>
        </is>
      </c>
      <c r="AS2" s="1" t="inlineStr">
        <is>
          <t>Final Grant</t>
        </is>
      </c>
      <c r="AT2" s="4" t="inlineStr">
        <is>
          <t>In case of Land BG Conversion Date</t>
        </is>
      </c>
      <c r="AU2" s="1" t="inlineStr">
        <is>
          <t>Remarks</t>
        </is>
      </c>
    </row>
    <row r="3" ht="31" customHeight="1">
      <c r="B3" s="8" t="n"/>
      <c r="C3" s="2" t="n"/>
      <c r="D3" s="2" t="n"/>
      <c r="E3" s="2" t="n"/>
      <c r="F3" s="2" t="n"/>
      <c r="G3" s="2" t="n"/>
      <c r="H3" s="2" t="n"/>
      <c r="I3" s="2" t="n"/>
      <c r="J3" s="2" t="n"/>
      <c r="K3" s="2" t="n"/>
      <c r="L3" s="2" t="n"/>
      <c r="M3" s="2" t="n"/>
      <c r="N3" s="2" t="n"/>
      <c r="O3" s="2" t="n"/>
      <c r="P3" s="2" t="n"/>
      <c r="Q3" s="2" t="n"/>
      <c r="R3" s="2" t="n"/>
      <c r="S3" s="6" t="inlineStr">
        <is>
          <t>Solar</t>
        </is>
      </c>
      <c r="T3" s="6" t="inlineStr">
        <is>
          <t>Wind</t>
        </is>
      </c>
      <c r="U3" s="6" t="inlineStr">
        <is>
          <t>Hybrid</t>
        </is>
      </c>
      <c r="V3" s="6" t="inlineStr">
        <is>
          <t>MWh</t>
        </is>
      </c>
      <c r="W3" s="6" t="inlineStr">
        <is>
          <t>Injection (MW)</t>
        </is>
      </c>
      <c r="X3" s="6" t="inlineStr">
        <is>
          <t>Drawl (MW)</t>
        </is>
      </c>
      <c r="Y3" s="6" t="inlineStr">
        <is>
          <t>MWh</t>
        </is>
      </c>
      <c r="Z3" s="6" t="inlineStr">
        <is>
          <t>Injection (MW)</t>
        </is>
      </c>
      <c r="AA3" s="6" t="inlineStr">
        <is>
          <t>Drawl (MW)</t>
        </is>
      </c>
      <c r="AB3" s="2" t="inlineStr">
        <is>
          <t>TGNA</t>
        </is>
      </c>
      <c r="AC3" s="2" t="inlineStr">
        <is>
          <t>GNA</t>
        </is>
      </c>
      <c r="AD3" s="2" t="n"/>
      <c r="AE3" s="2" t="n"/>
      <c r="AF3" s="2" t="n"/>
      <c r="AG3" s="2" t="n"/>
      <c r="AH3" s="2" t="n"/>
      <c r="AI3" s="9" t="n"/>
      <c r="AJ3" s="2" t="n"/>
      <c r="AK3" s="2" t="n"/>
      <c r="AL3" s="2" t="n"/>
      <c r="AM3" s="2" t="n"/>
      <c r="AN3" s="2" t="n"/>
      <c r="AO3" s="2" t="n"/>
      <c r="AP3" s="2" t="n"/>
      <c r="AQ3" s="2" t="n"/>
      <c r="AR3" s="17" t="n"/>
      <c r="AS3" s="2" t="n"/>
      <c r="AU3" s="2" t="n"/>
    </row>
    <row r="4">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U4" s="14" t="n"/>
    </row>
    <row r="5">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n"/>
      <c r="AP5" s="14" t="n"/>
      <c r="AQ5" s="14" t="n"/>
      <c r="AR5" s="14" t="n"/>
      <c r="AS5" s="14" t="n"/>
      <c r="AU5" s="14" t="n"/>
    </row>
    <row r="6">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4" t="n"/>
      <c r="AQ6" s="14" t="n"/>
      <c r="AR6" s="14" t="n"/>
      <c r="AS6" s="14" t="n"/>
      <c r="AU6" s="14" t="n"/>
    </row>
    <row r="7">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U7" s="14" t="n"/>
    </row>
    <row r="9">
      <c r="A9" t="inlineStr">
        <is>
          <t>Data Scoure (Sl. No.(s) 1,2,3,4,7,8,9,11)</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2:Q107"/>
  <sheetViews>
    <sheetView workbookViewId="0">
      <selection activeCell="A4" sqref="A4"/>
    </sheetView>
  </sheetViews>
  <sheetFormatPr baseColWidth="8" defaultRowHeight="12.5"/>
  <cols>
    <col width="39.7265625" customWidth="1" min="1" max="1"/>
  </cols>
  <sheetData>
    <row r="2" ht="39" customHeight="1">
      <c r="B2" s="11" t="inlineStr">
        <is>
          <t>Region</t>
        </is>
      </c>
      <c r="C2" s="11" t="inlineStr">
        <is>
          <t>State</t>
        </is>
      </c>
      <c r="D2" s="11" t="inlineStr">
        <is>
          <t>District</t>
        </is>
      </c>
      <c r="E2" s="11" t="inlineStr">
        <is>
          <t>Complex</t>
        </is>
      </c>
      <c r="F2" s="11" t="inlineStr">
        <is>
          <t>S/s</t>
        </is>
      </c>
      <c r="G2" s="11" t="inlineStr">
        <is>
          <t>Location (Village/Tehsil)</t>
        </is>
      </c>
      <c r="H2" s="11" t="inlineStr">
        <is>
          <t>Solar</t>
        </is>
      </c>
      <c r="I2" s="11" t="inlineStr">
        <is>
          <t>Wind</t>
        </is>
      </c>
      <c r="J2" s="11" t="inlineStr">
        <is>
          <t>Hybrid</t>
        </is>
      </c>
      <c r="K2" s="11" t="inlineStr">
        <is>
          <t>Others (CTUIL)</t>
        </is>
      </c>
      <c r="L2" s="11" t="inlineStr">
        <is>
          <t>RE Potential (GW)</t>
        </is>
      </c>
      <c r="M2" s="11" t="inlineStr">
        <is>
          <t>Installed Capacity</t>
        </is>
      </c>
      <c r="N2" s="11" t="inlineStr">
        <is>
          <t>U/c &amp; granted Capacity</t>
        </is>
      </c>
      <c r="O2" s="11" t="inlineStr">
        <is>
          <t>Transmission Scheme</t>
        </is>
      </c>
      <c r="P2" s="11" t="inlineStr">
        <is>
          <t xml:space="preserve">Complex </t>
        </is>
      </c>
      <c r="Q2" s="11" t="inlineStr">
        <is>
          <t>Remarks</t>
        </is>
      </c>
    </row>
    <row r="3">
      <c r="B3" s="14" t="n"/>
      <c r="C3" s="14" t="n"/>
      <c r="D3" s="14" t="inlineStr">
        <is>
          <t>Bikaner</t>
        </is>
      </c>
      <c r="E3" s="14" t="n"/>
      <c r="F3" s="14" t="n"/>
      <c r="G3" s="14" t="inlineStr">
        <is>
          <t>Bikaner</t>
        </is>
      </c>
      <c r="H3" s="39" t="n">
        <v>1.85</v>
      </c>
      <c r="I3" s="14" t="n"/>
      <c r="J3" s="14" t="n"/>
      <c r="K3" s="14" t="n"/>
      <c r="L3" s="14" t="n"/>
      <c r="M3" s="14" t="n"/>
      <c r="N3" s="14" t="n"/>
      <c r="O3" s="14" t="n"/>
      <c r="P3" s="14" t="n"/>
      <c r="Q3" s="14" t="n"/>
    </row>
    <row r="4">
      <c r="A4" t="inlineStr">
        <is>
          <t>Data Scoure (Sl. No.(s)9, 10a, )</t>
        </is>
      </c>
      <c r="D4" t="inlineStr">
        <is>
          <t>Bikaner</t>
        </is>
      </c>
      <c r="G4" t="inlineStr">
        <is>
          <t>Bikaner</t>
        </is>
      </c>
      <c r="H4" s="40" t="n">
        <v>2.95</v>
      </c>
    </row>
    <row r="5">
      <c r="D5" t="inlineStr">
        <is>
          <t>Kurnool</t>
        </is>
      </c>
      <c r="G5" t="inlineStr">
        <is>
          <t>Kurnool</t>
        </is>
      </c>
      <c r="H5" s="40" t="n">
        <v>5.5</v>
      </c>
    </row>
    <row r="6">
      <c r="D6" t="inlineStr">
        <is>
          <t>Anantapur</t>
        </is>
      </c>
      <c r="G6" t="inlineStr">
        <is>
          <t>Anantapur</t>
        </is>
      </c>
      <c r="H6" s="40" t="n">
        <v>2.5</v>
      </c>
    </row>
    <row r="7">
      <c r="D7" t="inlineStr">
        <is>
          <t>Gadag</t>
        </is>
      </c>
      <c r="G7" t="inlineStr">
        <is>
          <t>Gadag</t>
        </is>
      </c>
      <c r="H7" s="40" t="n">
        <v>2.5</v>
      </c>
    </row>
    <row r="8">
      <c r="D8" t="inlineStr">
        <is>
          <t>Koppal</t>
        </is>
      </c>
      <c r="G8" t="inlineStr">
        <is>
          <t>Koppal</t>
        </is>
      </c>
      <c r="H8" s="40" t="n">
        <v>2.5</v>
      </c>
    </row>
    <row r="9">
      <c r="C9" t="inlineStr">
        <is>
          <t>Rajasthan</t>
        </is>
      </c>
      <c r="H9" s="40" t="n">
        <v>15</v>
      </c>
      <c r="I9" s="40" t="n">
        <v>1</v>
      </c>
      <c r="L9" s="40" t="n">
        <v>60</v>
      </c>
      <c r="Q9" t="inlineStr">
        <is>
          <t>45 GW   (15 GW Wind &amp; 30  GW solar in GIB  Zone)</t>
        </is>
      </c>
    </row>
    <row r="10">
      <c r="C10" t="inlineStr">
        <is>
          <t>Andhra Pradesh</t>
        </is>
      </c>
      <c r="H10" s="40" t="n">
        <v>18</v>
      </c>
      <c r="I10" s="40" t="n">
        <v>2</v>
      </c>
      <c r="L10" s="40" t="n">
        <v>33</v>
      </c>
    </row>
    <row r="11">
      <c r="C11" t="inlineStr">
        <is>
          <t>Karnataka</t>
        </is>
      </c>
      <c r="H11" s="40" t="n">
        <v>8</v>
      </c>
      <c r="I11" s="40" t="n">
        <v>3</v>
      </c>
      <c r="L11" s="40" t="n">
        <v>9</v>
      </c>
    </row>
    <row r="12">
      <c r="C12" t="inlineStr">
        <is>
          <t>Tamil Nadu</t>
        </is>
      </c>
      <c r="H12" s="40" t="n">
        <v>5</v>
      </c>
      <c r="I12" s="40" t="n">
        <v>4</v>
      </c>
      <c r="L12" s="40" t="n">
        <v>5</v>
      </c>
      <c r="Q12" t="inlineStr">
        <is>
          <t>Offshore wind</t>
        </is>
      </c>
    </row>
    <row r="13">
      <c r="C13" t="inlineStr">
        <is>
          <t>Telangana</t>
        </is>
      </c>
      <c r="H13" s="40" t="n">
        <v>3</v>
      </c>
      <c r="I13" s="40" t="n">
        <v>5</v>
      </c>
      <c r="L13" s="40" t="n">
        <v>10</v>
      </c>
    </row>
    <row r="14">
      <c r="C14" t="inlineStr">
        <is>
          <t>Madhya Pradesh</t>
        </is>
      </c>
      <c r="H14" s="40" t="n">
        <v>2</v>
      </c>
      <c r="I14" s="40" t="n">
        <v>6</v>
      </c>
      <c r="L14" s="40" t="n">
        <v>6</v>
      </c>
    </row>
    <row r="15">
      <c r="C15" t="inlineStr">
        <is>
          <t>Gujarat</t>
        </is>
      </c>
      <c r="H15" s="40" t="n">
        <v>5</v>
      </c>
      <c r="I15" s="40" t="n">
        <v>7</v>
      </c>
      <c r="L15" s="40" t="n">
        <v>5</v>
      </c>
      <c r="Q15" t="inlineStr">
        <is>
          <t>Offshore wind</t>
        </is>
      </c>
    </row>
    <row r="16">
      <c r="C16" t="inlineStr">
        <is>
          <t>Maharashtra</t>
        </is>
      </c>
      <c r="H16" s="40" t="n">
        <v>2</v>
      </c>
      <c r="I16" s="40" t="n">
        <v>8</v>
      </c>
      <c r="L16" s="40" t="n">
        <v>5.5</v>
      </c>
    </row>
    <row r="17">
      <c r="C17" t="inlineStr">
        <is>
          <t>Rajasthan</t>
        </is>
      </c>
      <c r="H17" s="40" t="n">
        <v>30</v>
      </c>
      <c r="I17" s="40" t="n">
        <v>75</v>
      </c>
    </row>
    <row r="18">
      <c r="C18" t="inlineStr">
        <is>
          <t>Andhra Pradesh</t>
        </is>
      </c>
      <c r="H18" s="40" t="n">
        <v>10</v>
      </c>
      <c r="I18" s="40" t="n">
        <v>51</v>
      </c>
      <c r="L18" s="40" t="n">
        <v>10</v>
      </c>
    </row>
    <row r="19">
      <c r="C19" t="inlineStr">
        <is>
          <t>Karnataka</t>
        </is>
      </c>
      <c r="H19" s="40" t="n">
        <v>2</v>
      </c>
      <c r="I19" s="40" t="n">
        <v>17</v>
      </c>
      <c r="L19" s="40" t="n">
        <v>2</v>
      </c>
    </row>
    <row r="20">
      <c r="C20" t="inlineStr">
        <is>
          <t>Tamil Nadu</t>
        </is>
      </c>
      <c r="H20" s="40" t="n">
        <v>5</v>
      </c>
      <c r="I20" s="40" t="n">
        <v>5</v>
      </c>
    </row>
    <row r="21">
      <c r="C21" t="inlineStr">
        <is>
          <t>Telangana</t>
        </is>
      </c>
      <c r="H21" s="40" t="n">
        <v>1</v>
      </c>
      <c r="I21" s="40" t="n">
        <v>13</v>
      </c>
      <c r="L21" s="40" t="n">
        <v>2.5</v>
      </c>
    </row>
    <row r="22">
      <c r="C22" t="inlineStr">
        <is>
          <t>Madhya Pradesh</t>
        </is>
      </c>
      <c r="H22" s="40" t="n">
        <v>2</v>
      </c>
      <c r="I22" s="40" t="n">
        <v>8</v>
      </c>
    </row>
    <row r="23">
      <c r="C23" t="inlineStr">
        <is>
          <t>Gujarat</t>
        </is>
      </c>
      <c r="H23" s="40" t="n">
        <v>5</v>
      </c>
      <c r="I23" s="40" t="n">
        <v>5</v>
      </c>
    </row>
    <row r="24">
      <c r="C24" t="inlineStr">
        <is>
          <t>Maharashtra</t>
        </is>
      </c>
      <c r="H24" s="40" t="n">
        <v>1</v>
      </c>
      <c r="I24" s="40" t="n">
        <v>7.5</v>
      </c>
      <c r="L24" s="40" t="n">
        <v>1</v>
      </c>
    </row>
    <row r="25">
      <c r="C25" t="inlineStr">
        <is>
          <t>Rajasthan</t>
        </is>
      </c>
      <c r="H25" s="40" t="n">
        <v>60</v>
      </c>
      <c r="I25" s="40" t="n">
        <v>15</v>
      </c>
      <c r="L25" s="40" t="n">
        <v>67.5</v>
      </c>
    </row>
    <row r="26">
      <c r="C26" t="inlineStr">
        <is>
          <t>Gujarat</t>
        </is>
      </c>
    </row>
    <row r="27">
      <c r="C27" t="inlineStr">
        <is>
          <t>Maharashtra</t>
        </is>
      </c>
    </row>
    <row r="28">
      <c r="C28" t="inlineStr">
        <is>
          <t>Maharashtra</t>
        </is>
      </c>
      <c r="H28" s="40" t="n">
        <v>5.5</v>
      </c>
      <c r="I28" s="40" t="n">
        <v>2</v>
      </c>
      <c r="L28" s="40" t="n">
        <v>6.5</v>
      </c>
      <c r="Q28" t="inlineStr">
        <is>
          <t>5.4</t>
        </is>
      </c>
    </row>
    <row r="29">
      <c r="C29" t="inlineStr">
        <is>
          <t>Madhya Pradesh</t>
        </is>
      </c>
    </row>
    <row r="30">
      <c r="C30" t="inlineStr">
        <is>
          <t>Madhya Pradesh</t>
        </is>
      </c>
      <c r="H30" s="40" t="n">
        <v>6</v>
      </c>
      <c r="I30" s="40" t="n">
        <v>2</v>
      </c>
      <c r="L30" s="40" t="n">
        <v>8</v>
      </c>
    </row>
    <row r="31">
      <c r="C31" t="inlineStr">
        <is>
          <t>Andhra Pradesh</t>
        </is>
      </c>
    </row>
    <row r="32">
      <c r="C32" t="inlineStr">
        <is>
          <t>Andhra Pradesh</t>
        </is>
      </c>
      <c r="H32" s="40" t="n">
        <v>33</v>
      </c>
      <c r="I32" s="40" t="n">
        <v>18</v>
      </c>
      <c r="L32" s="40" t="n">
        <v>41</v>
      </c>
    </row>
    <row r="33">
      <c r="C33" t="inlineStr">
        <is>
          <t>Karnataka</t>
        </is>
      </c>
    </row>
    <row r="34">
      <c r="C34" t="inlineStr">
        <is>
          <t>Karnataka</t>
        </is>
      </c>
      <c r="H34" s="40" t="n">
        <v>9</v>
      </c>
      <c r="I34" s="40" t="n">
        <v>8</v>
      </c>
      <c r="L34" s="40" t="n">
        <v>14</v>
      </c>
    </row>
    <row r="35">
      <c r="C35" t="inlineStr">
        <is>
          <t>Telangana</t>
        </is>
      </c>
    </row>
    <row r="36">
      <c r="C36" t="inlineStr">
        <is>
          <t>Telangana</t>
        </is>
      </c>
      <c r="H36" s="40" t="n">
        <v>10</v>
      </c>
      <c r="I36" s="40" t="n">
        <v>3</v>
      </c>
      <c r="L36" s="40" t="n">
        <v>11.5</v>
      </c>
      <c r="Q36" t="inlineStr">
        <is>
          <t>8.5</t>
        </is>
      </c>
    </row>
    <row r="37">
      <c r="C37" t="inlineStr">
        <is>
          <t>Tamil Nadu</t>
        </is>
      </c>
    </row>
    <row r="38">
      <c r="C38" t="inlineStr">
        <is>
          <t>Telangana</t>
        </is>
      </c>
      <c r="D38" t="inlineStr">
        <is>
          <t>Bikaner</t>
        </is>
      </c>
      <c r="G38" t="inlineStr">
        <is>
          <t>Bikaner</t>
        </is>
      </c>
      <c r="H38" s="40" t="n">
        <v>8</v>
      </c>
      <c r="I38" s="40" t="n">
        <v>8.1</v>
      </c>
      <c r="L38" s="40" t="n">
        <v>400</v>
      </c>
    </row>
    <row r="39">
      <c r="C39" t="inlineStr">
        <is>
          <t>Telangana</t>
        </is>
      </c>
      <c r="D39" t="inlineStr">
        <is>
          <t>Bikaner</t>
        </is>
      </c>
      <c r="G39" t="inlineStr">
        <is>
          <t>Bikaner</t>
        </is>
      </c>
      <c r="H39" s="40" t="n">
        <v>400</v>
      </c>
    </row>
    <row r="40">
      <c r="C40" t="inlineStr">
        <is>
          <t>Telangana</t>
        </is>
      </c>
      <c r="D40" t="inlineStr">
        <is>
          <t>Bikaner</t>
        </is>
      </c>
      <c r="G40" t="inlineStr">
        <is>
          <t>Bikaner</t>
        </is>
      </c>
      <c r="H40" s="40" t="n">
        <v>300</v>
      </c>
    </row>
    <row r="41">
      <c r="C41" t="inlineStr">
        <is>
          <t>Telangana</t>
        </is>
      </c>
      <c r="D41" t="inlineStr">
        <is>
          <t>Bikaner</t>
        </is>
      </c>
      <c r="G41" t="inlineStr">
        <is>
          <t>Bikaner</t>
        </is>
      </c>
      <c r="H41" s="40" t="n">
        <v>9</v>
      </c>
      <c r="I41" s="40" t="n">
        <v>8.1</v>
      </c>
      <c r="L41" s="40" t="n">
        <v>400</v>
      </c>
    </row>
    <row r="42">
      <c r="C42" t="inlineStr">
        <is>
          <t>Telangana</t>
        </is>
      </c>
      <c r="D42" t="inlineStr">
        <is>
          <t>Gadag</t>
        </is>
      </c>
      <c r="G42" t="inlineStr">
        <is>
          <t>Gadag</t>
        </is>
      </c>
      <c r="H42" s="40" t="n">
        <v>12</v>
      </c>
      <c r="I42" s="40" t="n">
        <v>1000</v>
      </c>
      <c r="L42" s="40" t="n">
        <v>400</v>
      </c>
    </row>
    <row r="43">
      <c r="C43" t="inlineStr">
        <is>
          <t>Telangana</t>
        </is>
      </c>
      <c r="D43" t="inlineStr">
        <is>
          <t>Gadag</t>
        </is>
      </c>
      <c r="G43" t="inlineStr">
        <is>
          <t>Gadag</t>
        </is>
      </c>
      <c r="H43" s="40" t="n">
        <v>400</v>
      </c>
    </row>
    <row r="44">
      <c r="C44" t="inlineStr">
        <is>
          <t>Telangana</t>
        </is>
      </c>
      <c r="D44" t="inlineStr">
        <is>
          <t>Koppal</t>
        </is>
      </c>
      <c r="G44" t="inlineStr">
        <is>
          <t>Koppal</t>
        </is>
      </c>
      <c r="H44" s="40" t="n">
        <v>13</v>
      </c>
      <c r="I44" s="40" t="n">
        <v>2500</v>
      </c>
      <c r="L44" s="40" t="n">
        <v>400</v>
      </c>
    </row>
    <row r="45">
      <c r="C45" t="inlineStr">
        <is>
          <t>Telangana</t>
        </is>
      </c>
      <c r="D45" t="inlineStr">
        <is>
          <t>Koppal</t>
        </is>
      </c>
      <c r="G45" t="inlineStr">
        <is>
          <t>Koppal</t>
        </is>
      </c>
      <c r="H45" s="40" t="n">
        <v>400</v>
      </c>
    </row>
    <row r="46">
      <c r="C46" t="inlineStr">
        <is>
          <t>Telangana</t>
        </is>
      </c>
      <c r="D46" t="inlineStr">
        <is>
          <t>Koppal</t>
        </is>
      </c>
      <c r="G46" t="inlineStr">
        <is>
          <t>Koppal</t>
        </is>
      </c>
      <c r="H46" s="40" t="n">
        <v>2</v>
      </c>
    </row>
    <row r="47">
      <c r="C47" t="inlineStr">
        <is>
          <t>Telangana</t>
        </is>
      </c>
      <c r="D47" t="inlineStr">
        <is>
          <t>Gadag</t>
        </is>
      </c>
      <c r="G47" t="inlineStr">
        <is>
          <t>Gadag</t>
        </is>
      </c>
      <c r="H47" s="40" t="n">
        <v>11</v>
      </c>
      <c r="I47" s="40" t="n">
        <v>1500</v>
      </c>
      <c r="L47" s="40" t="n">
        <v>400</v>
      </c>
    </row>
    <row r="48">
      <c r="C48" t="inlineStr">
        <is>
          <t>Telangana</t>
        </is>
      </c>
      <c r="D48" t="inlineStr">
        <is>
          <t>Kurnool</t>
        </is>
      </c>
      <c r="G48" t="inlineStr">
        <is>
          <t>Kurnool</t>
        </is>
      </c>
      <c r="H48" s="40" t="n">
        <v>1</v>
      </c>
      <c r="I48" s="40" t="n">
        <v>2500</v>
      </c>
      <c r="L48" s="40" t="n">
        <v>400</v>
      </c>
    </row>
    <row r="49">
      <c r="C49" t="inlineStr">
        <is>
          <t>Telangana</t>
        </is>
      </c>
      <c r="D49" t="inlineStr">
        <is>
          <t>Kurnool</t>
        </is>
      </c>
      <c r="G49" t="inlineStr">
        <is>
          <t>Kurnool</t>
        </is>
      </c>
      <c r="H49" s="40" t="n">
        <v>400</v>
      </c>
    </row>
    <row r="50">
      <c r="C50" t="inlineStr">
        <is>
          <t>Telangana</t>
        </is>
      </c>
      <c r="D50" t="inlineStr">
        <is>
          <t>Anantapur</t>
        </is>
      </c>
      <c r="G50" t="inlineStr">
        <is>
          <t>Anantapur</t>
        </is>
      </c>
      <c r="H50" s="40" t="n">
        <v>400</v>
      </c>
    </row>
    <row r="51">
      <c r="C51" t="inlineStr">
        <is>
          <t>Telangana</t>
        </is>
      </c>
      <c r="D51" t="inlineStr">
        <is>
          <t>Kurnool</t>
        </is>
      </c>
      <c r="G51" t="inlineStr">
        <is>
          <t>Kurnool</t>
        </is>
      </c>
      <c r="H51" s="40" t="n">
        <v>3</v>
      </c>
      <c r="I51" s="40" t="n">
        <v>3000</v>
      </c>
      <c r="L51" s="40" t="n">
        <v>765</v>
      </c>
    </row>
    <row r="52">
      <c r="C52" t="inlineStr">
        <is>
          <t>Telangana</t>
        </is>
      </c>
      <c r="D52" t="inlineStr">
        <is>
          <t>Kurnool</t>
        </is>
      </c>
      <c r="G52" t="inlineStr">
        <is>
          <t>Kurnool</t>
        </is>
      </c>
      <c r="H52" s="40" t="n">
        <v>765</v>
      </c>
    </row>
    <row r="53">
      <c r="C53" t="inlineStr">
        <is>
          <t>Rajasthan</t>
        </is>
      </c>
      <c r="H53" s="40" t="n">
        <v>7</v>
      </c>
      <c r="I53" s="40" t="n">
        <v>0</v>
      </c>
      <c r="L53" s="40" t="n">
        <v>7</v>
      </c>
    </row>
    <row r="54">
      <c r="C54" t="inlineStr">
        <is>
          <t>Rajasthan</t>
        </is>
      </c>
      <c r="H54" s="40" t="n">
        <v>6</v>
      </c>
      <c r="I54" s="40" t="n">
        <v>6</v>
      </c>
      <c r="L54" s="40" t="n">
        <v>12</v>
      </c>
    </row>
    <row r="55">
      <c r="C55" t="inlineStr">
        <is>
          <t>Rajasthan</t>
        </is>
      </c>
      <c r="H55" s="40" t="n">
        <v>6</v>
      </c>
      <c r="I55" s="40" t="n">
        <v>4</v>
      </c>
      <c r="L55" s="40" t="n">
        <v>10</v>
      </c>
    </row>
    <row r="56">
      <c r="C56" t="inlineStr">
        <is>
          <t>Rajasthan</t>
        </is>
      </c>
      <c r="H56" s="40" t="n">
        <v>3</v>
      </c>
      <c r="I56" s="40" t="n">
        <v>0</v>
      </c>
      <c r="L56" s="40" t="n">
        <v>3</v>
      </c>
    </row>
    <row r="57">
      <c r="C57" t="inlineStr">
        <is>
          <t>Rajasthan</t>
        </is>
      </c>
      <c r="H57" s="40" t="n">
        <v>2</v>
      </c>
      <c r="I57" s="40" t="n">
        <v>0</v>
      </c>
      <c r="L57" s="40" t="n">
        <v>2</v>
      </c>
    </row>
    <row r="58">
      <c r="C58" t="inlineStr">
        <is>
          <t>Rajasthan</t>
        </is>
      </c>
      <c r="H58" s="40" t="n">
        <v>3</v>
      </c>
      <c r="I58" s="40" t="n">
        <v>2</v>
      </c>
      <c r="L58" s="40" t="n">
        <v>5</v>
      </c>
    </row>
    <row r="59">
      <c r="C59" t="inlineStr">
        <is>
          <t>Rajasthan</t>
        </is>
      </c>
      <c r="H59" s="40" t="n">
        <v>4</v>
      </c>
      <c r="I59" s="40" t="n">
        <v>3</v>
      </c>
      <c r="L59" s="40" t="n">
        <v>7</v>
      </c>
    </row>
    <row r="60">
      <c r="C60" t="inlineStr">
        <is>
          <t>Rajasthan</t>
        </is>
      </c>
      <c r="H60" s="40" t="n">
        <v>6</v>
      </c>
      <c r="I60" s="40" t="n">
        <v>0</v>
      </c>
      <c r="L60" s="40" t="n">
        <v>6</v>
      </c>
    </row>
    <row r="61">
      <c r="C61" t="inlineStr">
        <is>
          <t>Rajasthan</t>
        </is>
      </c>
      <c r="H61" s="40" t="n">
        <v>5</v>
      </c>
      <c r="I61" s="40" t="n">
        <v>0</v>
      </c>
      <c r="L61" s="40" t="n">
        <v>5</v>
      </c>
    </row>
    <row r="62">
      <c r="C62" t="inlineStr">
        <is>
          <t>Maharashtra</t>
        </is>
      </c>
      <c r="H62" s="40" t="n">
        <v>1</v>
      </c>
      <c r="I62" s="40" t="n">
        <v>0</v>
      </c>
      <c r="L62" s="40" t="n">
        <v>1</v>
      </c>
    </row>
    <row r="63">
      <c r="C63" t="inlineStr">
        <is>
          <t>Maharashtra</t>
        </is>
      </c>
      <c r="H63" s="40" t="n">
        <v>1</v>
      </c>
      <c r="I63" s="40" t="n">
        <v>1</v>
      </c>
      <c r="L63" s="40" t="n">
        <v>2</v>
      </c>
    </row>
    <row r="64">
      <c r="C64" t="inlineStr">
        <is>
          <t>Maharashtra</t>
        </is>
      </c>
      <c r="H64" s="40" t="n">
        <v>2.5</v>
      </c>
      <c r="I64" s="40" t="n">
        <v>2.5</v>
      </c>
      <c r="L64" s="40" t="n">
        <v>0</v>
      </c>
      <c r="Q64" t="inlineStr">
        <is>
          <t>2.5</t>
        </is>
      </c>
    </row>
    <row r="65">
      <c r="C65" t="inlineStr">
        <is>
          <t>Gujarat</t>
        </is>
      </c>
      <c r="H65" s="40" t="n">
        <v>5</v>
      </c>
      <c r="I65" s="40" t="n">
        <v>5</v>
      </c>
      <c r="L65" s="40" t="n">
        <v>2</v>
      </c>
    </row>
    <row r="66">
      <c r="C66" t="inlineStr">
        <is>
          <t>Telangana</t>
        </is>
      </c>
      <c r="H66" s="40" t="n">
        <v>2.5</v>
      </c>
      <c r="I66" s="40" t="n">
        <v>1</v>
      </c>
      <c r="L66" s="40" t="n">
        <v>3.5</v>
      </c>
    </row>
    <row r="67">
      <c r="C67" t="inlineStr">
        <is>
          <t>Telangana</t>
        </is>
      </c>
      <c r="H67" s="40" t="n">
        <v>2.5</v>
      </c>
      <c r="I67" s="40" t="n">
        <v>0</v>
      </c>
      <c r="L67" s="40" t="n">
        <v>2.5</v>
      </c>
      <c r="Q67" t="inlineStr">
        <is>
          <t>0.5</t>
        </is>
      </c>
    </row>
    <row r="68">
      <c r="C68" t="inlineStr">
        <is>
          <t>Karnataka</t>
        </is>
      </c>
      <c r="H68" s="40" t="n">
        <v>2</v>
      </c>
      <c r="I68" s="40" t="n">
        <v>2</v>
      </c>
      <c r="L68" s="40" t="n">
        <v>4</v>
      </c>
    </row>
    <row r="69">
      <c r="C69" t="inlineStr">
        <is>
          <t>Karnataka</t>
        </is>
      </c>
      <c r="H69" s="40" t="n">
        <v>0</v>
      </c>
      <c r="I69" s="40" t="n">
        <v>2</v>
      </c>
      <c r="L69" s="40" t="n">
        <v>2</v>
      </c>
    </row>
    <row r="70">
      <c r="C70" t="inlineStr">
        <is>
          <t>Karnataka</t>
        </is>
      </c>
      <c r="H70" s="40" t="n">
        <v>1.5</v>
      </c>
      <c r="I70" s="40" t="n">
        <v>0</v>
      </c>
      <c r="L70" s="40" t="n">
        <v>1.5</v>
      </c>
    </row>
    <row r="71">
      <c r="C71" t="inlineStr">
        <is>
          <t>Tamil Nadu</t>
        </is>
      </c>
      <c r="H71" s="40" t="n">
        <v>5</v>
      </c>
      <c r="I71" s="40" t="n">
        <v>5</v>
      </c>
      <c r="L71" s="40" t="n">
        <v>0</v>
      </c>
    </row>
    <row r="72">
      <c r="C72" t="inlineStr">
        <is>
          <t>Tamil Nadu</t>
        </is>
      </c>
      <c r="E72" t="inlineStr">
        <is>
          <t>Bikaner-II</t>
        </is>
      </c>
      <c r="F72" t="inlineStr">
        <is>
          <t>Bikaner-II</t>
        </is>
      </c>
      <c r="H72" s="40" t="n">
        <v>7</v>
      </c>
      <c r="I72" s="40" t="n">
        <v>0</v>
      </c>
      <c r="K72" s="40" t="n">
        <v>0</v>
      </c>
      <c r="L72" s="40" t="n">
        <v>7</v>
      </c>
    </row>
    <row r="73">
      <c r="C73" t="inlineStr">
        <is>
          <t>Tamil Nadu</t>
        </is>
      </c>
      <c r="E73" t="inlineStr">
        <is>
          <t>Bikaner-III</t>
        </is>
      </c>
      <c r="F73" t="inlineStr">
        <is>
          <t>Bikaner-III</t>
        </is>
      </c>
      <c r="H73" s="40" t="n">
        <v>7</v>
      </c>
      <c r="I73" s="40" t="n">
        <v>0</v>
      </c>
      <c r="K73" s="40" t="n">
        <v>0</v>
      </c>
      <c r="L73" s="40" t="n">
        <v>7</v>
      </c>
    </row>
    <row r="74">
      <c r="C74" t="inlineStr">
        <is>
          <t>Tamil Nadu</t>
        </is>
      </c>
      <c r="E74" t="inlineStr">
        <is>
          <t>Fatehgarh-IV</t>
        </is>
      </c>
      <c r="F74" t="inlineStr">
        <is>
          <t>Fatehgarh-IV</t>
        </is>
      </c>
      <c r="H74" s="40" t="n">
        <v>6</v>
      </c>
      <c r="I74" s="40" t="n">
        <v>6</v>
      </c>
      <c r="K74" s="40" t="n">
        <v>2</v>
      </c>
      <c r="L74" s="40" t="n">
        <v>12</v>
      </c>
    </row>
    <row r="75">
      <c r="C75" t="inlineStr">
        <is>
          <t>Tamil Nadu</t>
        </is>
      </c>
      <c r="E75" t="inlineStr">
        <is>
          <t>Ramgarh</t>
        </is>
      </c>
      <c r="F75" t="inlineStr">
        <is>
          <t>Ramgarh</t>
        </is>
      </c>
      <c r="H75" s="40" t="n">
        <v>6</v>
      </c>
      <c r="I75" s="40" t="n">
        <v>4</v>
      </c>
      <c r="K75" s="40" t="n">
        <v>2</v>
      </c>
      <c r="L75" s="40" t="n">
        <v>10</v>
      </c>
    </row>
    <row r="76">
      <c r="C76" t="inlineStr">
        <is>
          <t>Tamil Nadu</t>
        </is>
      </c>
      <c r="E76" t="inlineStr">
        <is>
          <t>Jalore</t>
        </is>
      </c>
      <c r="F76" t="inlineStr">
        <is>
          <t>Jalore</t>
        </is>
      </c>
      <c r="H76" s="40" t="n">
        <v>3</v>
      </c>
      <c r="I76" s="40" t="n">
        <v>0</v>
      </c>
      <c r="K76" s="40" t="n">
        <v>0</v>
      </c>
      <c r="L76" s="40" t="n">
        <v>3</v>
      </c>
    </row>
    <row r="77">
      <c r="C77" t="inlineStr">
        <is>
          <t>Tamil Nadu</t>
        </is>
      </c>
      <c r="E77" t="inlineStr">
        <is>
          <t>Sanchore</t>
        </is>
      </c>
      <c r="F77" t="inlineStr">
        <is>
          <t>Sanchore</t>
        </is>
      </c>
      <c r="H77" s="40" t="n">
        <v>3</v>
      </c>
      <c r="I77" s="40" t="n">
        <v>0</v>
      </c>
      <c r="K77" s="40" t="n">
        <v>0</v>
      </c>
      <c r="L77" s="40" t="n">
        <v>3</v>
      </c>
    </row>
    <row r="78">
      <c r="C78" t="inlineStr">
        <is>
          <t>Tamil Nadu</t>
        </is>
      </c>
      <c r="E78" t="inlineStr">
        <is>
          <t>Sirohi</t>
        </is>
      </c>
      <c r="F78" t="inlineStr">
        <is>
          <t>Sirohi</t>
        </is>
      </c>
      <c r="H78" s="40" t="n">
        <v>3</v>
      </c>
      <c r="I78" s="40" t="n">
        <v>0</v>
      </c>
      <c r="K78" s="40" t="n">
        <v>0</v>
      </c>
      <c r="L78" s="40" t="n">
        <v>3</v>
      </c>
    </row>
    <row r="79">
      <c r="C79" t="inlineStr">
        <is>
          <t>Tamil Nadu</t>
        </is>
      </c>
      <c r="E79" t="inlineStr">
        <is>
          <t>Pali</t>
        </is>
      </c>
      <c r="F79" t="inlineStr">
        <is>
          <t>Pali</t>
        </is>
      </c>
      <c r="H79" s="40" t="n">
        <v>3</v>
      </c>
      <c r="I79" s="40" t="n">
        <v>0</v>
      </c>
      <c r="K79" s="40" t="n">
        <v>0</v>
      </c>
      <c r="L79" s="40" t="n">
        <v>3</v>
      </c>
    </row>
    <row r="80">
      <c r="C80" t="inlineStr">
        <is>
          <t>Tamil Nadu</t>
        </is>
      </c>
      <c r="E80" t="inlineStr">
        <is>
          <t>Ajmer</t>
        </is>
      </c>
      <c r="F80" t="inlineStr">
        <is>
          <t>Ajmer</t>
        </is>
      </c>
      <c r="H80" s="40" t="n">
        <v>2</v>
      </c>
      <c r="I80" s="40" t="n">
        <v>0</v>
      </c>
      <c r="K80" s="40" t="n">
        <v>0</v>
      </c>
      <c r="L80" s="40" t="n">
        <v>2</v>
      </c>
    </row>
    <row r="81">
      <c r="C81" t="inlineStr">
        <is>
          <t>Tamil Nadu</t>
        </is>
      </c>
      <c r="E81" t="inlineStr">
        <is>
          <t>Nagaur</t>
        </is>
      </c>
      <c r="F81" t="inlineStr">
        <is>
          <t>Nagaur</t>
        </is>
      </c>
      <c r="H81" s="40" t="n">
        <v>2</v>
      </c>
      <c r="I81" s="40" t="n">
        <v>0</v>
      </c>
      <c r="K81" s="40" t="n">
        <v>0</v>
      </c>
      <c r="L81" s="40" t="n">
        <v>2</v>
      </c>
    </row>
    <row r="82">
      <c r="C82" t="inlineStr">
        <is>
          <t>Tamil Nadu</t>
        </is>
      </c>
      <c r="E82" t="inlineStr">
        <is>
          <t>Bhadla-IV</t>
        </is>
      </c>
      <c r="F82" t="inlineStr">
        <is>
          <t>Bhadla-IV</t>
        </is>
      </c>
      <c r="H82" s="40" t="n">
        <v>3</v>
      </c>
      <c r="I82" s="40" t="n">
        <v>2</v>
      </c>
      <c r="K82" s="40" t="n">
        <v>0</v>
      </c>
      <c r="L82" s="40" t="n">
        <v>5</v>
      </c>
    </row>
    <row r="83">
      <c r="C83" t="inlineStr">
        <is>
          <t>Tamil Nadu</t>
        </is>
      </c>
      <c r="E83" t="inlineStr">
        <is>
          <t>Barmer-I</t>
        </is>
      </c>
      <c r="F83" t="inlineStr">
        <is>
          <t>Barmer-I</t>
        </is>
      </c>
      <c r="H83" s="40" t="n">
        <v>4</v>
      </c>
      <c r="I83" s="40" t="n">
        <v>3</v>
      </c>
      <c r="K83" s="40" t="n">
        <v>2</v>
      </c>
      <c r="L83" s="40" t="n">
        <v>7</v>
      </c>
    </row>
    <row r="84">
      <c r="C84" t="inlineStr">
        <is>
          <t>Tamil Nadu</t>
        </is>
      </c>
      <c r="E84" t="inlineStr">
        <is>
          <t>Barmer-II</t>
        </is>
      </c>
      <c r="F84" t="inlineStr">
        <is>
          <t>Barmer-II</t>
        </is>
      </c>
      <c r="H84" s="40" t="n">
        <v>6</v>
      </c>
      <c r="I84" s="40" t="n">
        <v>0</v>
      </c>
      <c r="K84" s="40" t="n">
        <v>0</v>
      </c>
      <c r="L84" s="40" t="n">
        <v>6</v>
      </c>
    </row>
    <row r="85">
      <c r="C85" t="inlineStr">
        <is>
          <t>Tamil Nadu</t>
        </is>
      </c>
      <c r="E85" t="inlineStr">
        <is>
          <t>Jaisalmer/ Jodhpur  (Intra-State)</t>
        </is>
      </c>
      <c r="F85" t="inlineStr">
        <is>
          <t>Jaisalmer/ Jodhpur  (Intra-State)</t>
        </is>
      </c>
      <c r="H85" s="40" t="n">
        <v>5</v>
      </c>
      <c r="I85" s="40" t="n">
        <v>0</v>
      </c>
      <c r="K85" s="40" t="n">
        <v>0</v>
      </c>
      <c r="L85" s="40" t="n">
        <v>5</v>
      </c>
    </row>
    <row r="86">
      <c r="C86" t="inlineStr">
        <is>
          <t>Tamil Nadu</t>
        </is>
      </c>
      <c r="E86" t="inlineStr">
        <is>
          <t>Total</t>
        </is>
      </c>
      <c r="F86" t="inlineStr">
        <is>
          <t>Total</t>
        </is>
      </c>
      <c r="H86" s="40" t="n">
        <v>60</v>
      </c>
      <c r="I86" s="40" t="n">
        <v>15</v>
      </c>
      <c r="K86" s="40" t="n">
        <v>6</v>
      </c>
      <c r="L86" s="40" t="n">
        <v>75</v>
      </c>
    </row>
    <row r="87">
      <c r="C87" t="inlineStr">
        <is>
          <t>Tamil Nadu</t>
        </is>
      </c>
      <c r="E87" t="inlineStr">
        <is>
          <t>Jaisalmer/  Jodhpur   (Intra-State)</t>
        </is>
      </c>
      <c r="F87" t="inlineStr">
        <is>
          <t>Jaisalmer/  Jodhpur   (Intra-State)</t>
        </is>
      </c>
      <c r="H87" s="40" t="n">
        <v>5</v>
      </c>
      <c r="I87" s="40" t="n">
        <v>0</v>
      </c>
      <c r="K87" s="40" t="n">
        <v>0</v>
      </c>
      <c r="L87" s="40" t="n">
        <v>5</v>
      </c>
    </row>
    <row r="88">
      <c r="C88" t="inlineStr">
        <is>
          <t>Tamil Nadu</t>
        </is>
      </c>
      <c r="E88" t="inlineStr">
        <is>
          <t>Jaisalmer/ Jodhpur   (Intra-State)</t>
        </is>
      </c>
      <c r="F88" t="inlineStr">
        <is>
          <t>Jaisalmer/ Jodhpur   (Intra-State)</t>
        </is>
      </c>
      <c r="H88" s="40" t="n">
        <v>5</v>
      </c>
      <c r="I88" s="40" t="n">
        <v>0</v>
      </c>
      <c r="K88" s="40" t="n">
        <v>0</v>
      </c>
      <c r="L88" s="40" t="n">
        <v>5</v>
      </c>
    </row>
    <row r="89">
      <c r="C89" t="inlineStr">
        <is>
          <t>Tamil Nadu</t>
        </is>
      </c>
      <c r="E89" t="inlineStr">
        <is>
          <t>Kurnool-IV</t>
        </is>
      </c>
      <c r="F89" t="inlineStr">
        <is>
          <t>Kurnool-IV</t>
        </is>
      </c>
      <c r="H89" s="40" t="n">
        <v>7.5</v>
      </c>
      <c r="I89" s="40" t="n">
        <v>4</v>
      </c>
      <c r="K89" s="40" t="n">
        <v>3</v>
      </c>
      <c r="L89" s="40" t="n">
        <v>11.5</v>
      </c>
    </row>
    <row r="90">
      <c r="C90" t="inlineStr">
        <is>
          <t>Tamil Nadu</t>
        </is>
      </c>
      <c r="E90" t="inlineStr">
        <is>
          <t>Kurnool-V</t>
        </is>
      </c>
      <c r="F90" t="inlineStr">
        <is>
          <t>Kurnool-V</t>
        </is>
      </c>
      <c r="H90" s="40" t="n">
        <v>7.5</v>
      </c>
      <c r="I90" s="40" t="n">
        <v>4</v>
      </c>
      <c r="K90" s="40" t="n">
        <v>3</v>
      </c>
      <c r="L90" s="40" t="n">
        <v>11.5</v>
      </c>
    </row>
    <row r="91">
      <c r="C91" t="inlineStr">
        <is>
          <t>Tamil Nadu</t>
        </is>
      </c>
      <c r="E91" t="inlineStr">
        <is>
          <t>Anantapur</t>
        </is>
      </c>
      <c r="F91" t="inlineStr">
        <is>
          <t>Anantapur</t>
        </is>
      </c>
      <c r="H91" s="40" t="n">
        <v>2</v>
      </c>
      <c r="I91" s="40" t="n">
        <v>2</v>
      </c>
      <c r="K91" s="40" t="n">
        <v>1</v>
      </c>
      <c r="L91" s="40" t="n">
        <v>4</v>
      </c>
    </row>
    <row r="92">
      <c r="C92" t="inlineStr">
        <is>
          <t>Tamil Nadu</t>
        </is>
      </c>
      <c r="E92" t="inlineStr">
        <is>
          <t>Anantapur-II</t>
        </is>
      </c>
      <c r="F92" t="inlineStr">
        <is>
          <t>Anantapur-II</t>
        </is>
      </c>
      <c r="H92" s="40" t="n">
        <v>8</v>
      </c>
      <c r="I92" s="40" t="n">
        <v>8</v>
      </c>
      <c r="K92" s="40" t="n">
        <v>4</v>
      </c>
      <c r="L92" s="40" t="n">
        <v>16</v>
      </c>
    </row>
    <row r="93">
      <c r="C93" t="inlineStr">
        <is>
          <t>Tamil Nadu</t>
        </is>
      </c>
      <c r="E93" t="inlineStr">
        <is>
          <t>Kadapa-II</t>
        </is>
      </c>
      <c r="F93" t="inlineStr">
        <is>
          <t>Kadapa-II</t>
        </is>
      </c>
      <c r="H93" s="40" t="n">
        <v>8</v>
      </c>
      <c r="I93" s="40" t="n">
        <v>0</v>
      </c>
      <c r="K93" s="40" t="n">
        <v>3</v>
      </c>
      <c r="L93" s="40" t="n">
        <v>8</v>
      </c>
    </row>
    <row r="94">
      <c r="C94" t="inlineStr">
        <is>
          <t>Tamil Nadu</t>
        </is>
      </c>
      <c r="E94" t="inlineStr">
        <is>
          <t>Total</t>
        </is>
      </c>
      <c r="F94" t="inlineStr">
        <is>
          <t>Total</t>
        </is>
      </c>
      <c r="H94" s="40" t="n">
        <v>33</v>
      </c>
      <c r="I94" s="40" t="n">
        <v>18</v>
      </c>
      <c r="K94" s="40" t="n">
        <v>14</v>
      </c>
      <c r="L94" s="40" t="n">
        <v>51</v>
      </c>
    </row>
    <row r="95">
      <c r="C95" t="inlineStr">
        <is>
          <t>Tamil Nadu</t>
        </is>
      </c>
      <c r="E95" t="inlineStr">
        <is>
          <t>Koppal-II</t>
        </is>
      </c>
      <c r="F95" t="inlineStr">
        <is>
          <t>Koppal-II</t>
        </is>
      </c>
      <c r="H95" s="40" t="n">
        <v>2</v>
      </c>
      <c r="I95" s="40" t="n">
        <v>2</v>
      </c>
      <c r="K95" s="40" t="n">
        <v>1</v>
      </c>
      <c r="L95" s="40" t="n">
        <v>4</v>
      </c>
    </row>
    <row r="96">
      <c r="C96" t="inlineStr">
        <is>
          <t>Tamil Nadu</t>
        </is>
      </c>
      <c r="E96" t="inlineStr">
        <is>
          <t>Gadag-II</t>
        </is>
      </c>
      <c r="F96" t="inlineStr">
        <is>
          <t>Gadag-II</t>
        </is>
      </c>
      <c r="H96" s="40" t="n">
        <v>2</v>
      </c>
      <c r="I96" s="40" t="n">
        <v>2</v>
      </c>
      <c r="K96" s="40" t="n">
        <v>1</v>
      </c>
      <c r="L96" s="40" t="n">
        <v>4</v>
      </c>
    </row>
    <row r="97">
      <c r="C97" t="inlineStr">
        <is>
          <t>Tamil Nadu</t>
        </is>
      </c>
      <c r="E97" t="inlineStr">
        <is>
          <t>Devanagere/  Chitragurga</t>
        </is>
      </c>
      <c r="F97" t="inlineStr">
        <is>
          <t>Devanagere/  Chitragurga</t>
        </is>
      </c>
      <c r="H97" s="40" t="n">
        <v>2</v>
      </c>
      <c r="I97" s="40" t="n">
        <v>2</v>
      </c>
      <c r="K97" s="40" t="n">
        <v>1</v>
      </c>
      <c r="L97" s="40" t="n">
        <v>4</v>
      </c>
    </row>
    <row r="98">
      <c r="C98" t="inlineStr">
        <is>
          <t>Tamil Nadu</t>
        </is>
      </c>
      <c r="E98" t="inlineStr">
        <is>
          <t>Bijapur</t>
        </is>
      </c>
      <c r="F98" t="inlineStr">
        <is>
          <t>Bijapur</t>
        </is>
      </c>
      <c r="H98" s="40" t="n">
        <v>0</v>
      </c>
      <c r="I98" s="40" t="n">
        <v>2</v>
      </c>
      <c r="K98" s="40" t="n">
        <v>0</v>
      </c>
      <c r="L98" s="40" t="n">
        <v>2</v>
      </c>
    </row>
    <row r="99">
      <c r="C99" t="inlineStr">
        <is>
          <t>Tamil Nadu</t>
        </is>
      </c>
      <c r="E99" t="inlineStr">
        <is>
          <t>Bellary</t>
        </is>
      </c>
      <c r="F99" t="inlineStr">
        <is>
          <t>Bellary</t>
        </is>
      </c>
      <c r="H99" s="40" t="n">
        <v>1.5</v>
      </c>
      <c r="I99" s="40" t="n">
        <v>0</v>
      </c>
      <c r="K99" s="40" t="n">
        <v>0</v>
      </c>
      <c r="L99" s="40" t="n">
        <v>1.5</v>
      </c>
    </row>
    <row r="100">
      <c r="C100" t="inlineStr">
        <is>
          <t>Tamil Nadu</t>
        </is>
      </c>
      <c r="E100" t="inlineStr">
        <is>
          <t>Tumkur-II</t>
        </is>
      </c>
      <c r="F100" t="inlineStr">
        <is>
          <t>Tumkur-II</t>
        </is>
      </c>
      <c r="H100" s="40" t="n">
        <v>1.5</v>
      </c>
      <c r="I100" s="40" t="n">
        <v>0</v>
      </c>
      <c r="K100" s="40" t="n">
        <v>0</v>
      </c>
      <c r="L100" s="40" t="n">
        <v>1.5</v>
      </c>
    </row>
    <row r="101">
      <c r="C101" t="inlineStr">
        <is>
          <t>Tamil Nadu</t>
        </is>
      </c>
      <c r="E101" t="inlineStr">
        <is>
          <t>Total</t>
        </is>
      </c>
      <c r="F101" t="inlineStr">
        <is>
          <t>Total</t>
        </is>
      </c>
      <c r="H101" s="40" t="n">
        <v>9</v>
      </c>
      <c r="I101" s="40" t="n">
        <v>8</v>
      </c>
      <c r="K101" s="40" t="n">
        <v>3</v>
      </c>
      <c r="L101" s="40" t="n">
        <v>17</v>
      </c>
    </row>
    <row r="102">
      <c r="C102" t="inlineStr">
        <is>
          <t>Tamil Nadu</t>
        </is>
      </c>
      <c r="E102" t="inlineStr">
        <is>
          <t>Nizamabad-II</t>
        </is>
      </c>
      <c r="F102" t="inlineStr">
        <is>
          <t>Nizamabad-II</t>
        </is>
      </c>
      <c r="H102" s="40" t="n">
        <v>2.5</v>
      </c>
      <c r="I102" s="40" t="n">
        <v>1</v>
      </c>
      <c r="K102" s="40" t="n">
        <v>1</v>
      </c>
      <c r="L102" s="40" t="n">
        <v>3.5</v>
      </c>
    </row>
    <row r="103">
      <c r="C103" t="inlineStr">
        <is>
          <t>Tamil Nadu</t>
        </is>
      </c>
      <c r="E103" t="inlineStr">
        <is>
          <t>Medak</t>
        </is>
      </c>
      <c r="F103" t="inlineStr">
        <is>
          <t>Medak</t>
        </is>
      </c>
      <c r="H103" s="40" t="n">
        <v>2.5</v>
      </c>
      <c r="I103" s="40" t="n">
        <v>1</v>
      </c>
      <c r="K103" s="40" t="n">
        <v>1</v>
      </c>
      <c r="L103" s="40" t="n">
        <v>3.5</v>
      </c>
    </row>
    <row r="104">
      <c r="C104" t="inlineStr">
        <is>
          <t>Tamil Nadu</t>
        </is>
      </c>
      <c r="E104" t="inlineStr">
        <is>
          <t>Rangareddy</t>
        </is>
      </c>
      <c r="F104" t="inlineStr">
        <is>
          <t>Rangareddy</t>
        </is>
      </c>
      <c r="H104" s="40" t="n">
        <v>2.5</v>
      </c>
      <c r="I104" s="40" t="n">
        <v>1</v>
      </c>
      <c r="K104" s="40" t="n">
        <v>1</v>
      </c>
      <c r="L104" s="40" t="n">
        <v>3.5</v>
      </c>
    </row>
    <row r="105">
      <c r="C105" t="inlineStr">
        <is>
          <t>Tamil Nadu</t>
        </is>
      </c>
      <c r="E105" t="inlineStr">
        <is>
          <t>Karimnagar</t>
        </is>
      </c>
      <c r="F105" t="inlineStr">
        <is>
          <t>Karimnagar</t>
        </is>
      </c>
      <c r="H105" s="40" t="n">
        <v>2.5</v>
      </c>
      <c r="I105" s="40" t="n">
        <v>0</v>
      </c>
      <c r="K105" s="40" t="n">
        <v>0</v>
      </c>
      <c r="L105" s="40" t="n">
        <v>2.5</v>
      </c>
    </row>
    <row r="106">
      <c r="C106" t="inlineStr">
        <is>
          <t>Tamil Nadu</t>
        </is>
      </c>
      <c r="E106" t="inlineStr">
        <is>
          <t>Total</t>
        </is>
      </c>
      <c r="F106" t="inlineStr">
        <is>
          <t>Total</t>
        </is>
      </c>
      <c r="H106" s="40" t="n">
        <v>10</v>
      </c>
      <c r="I106" s="40" t="n">
        <v>3</v>
      </c>
      <c r="K106" s="40" t="n">
        <v>3</v>
      </c>
      <c r="L106" s="40" t="n">
        <v>13</v>
      </c>
    </row>
    <row r="107">
      <c r="C107" t="inlineStr">
        <is>
          <t>Tamil Nadu</t>
        </is>
      </c>
      <c r="E107" t="inlineStr">
        <is>
          <t>Sl. No.</t>
        </is>
      </c>
      <c r="F107" t="inlineStr">
        <is>
          <t>Sl. No.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X9"/>
  <sheetViews>
    <sheetView workbookViewId="0">
      <selection activeCell="F4" sqref="F4"/>
    </sheetView>
  </sheetViews>
  <sheetFormatPr baseColWidth="8" defaultRowHeight="12.5"/>
  <cols>
    <col width="39.81640625" customWidth="1" min="1" max="1"/>
    <col width="10.7265625" customWidth="1" min="5" max="5"/>
    <col width="13.54296875" customWidth="1" min="6" max="6"/>
    <col width="20.90625" customWidth="1" min="7" max="7"/>
    <col width="19.54296875" customWidth="1" min="8" max="8"/>
    <col width="14.453125" customWidth="1" min="9" max="9"/>
    <col width="33" customWidth="1" min="10" max="10"/>
    <col width="22.81640625" bestFit="1" customWidth="1" min="11" max="11"/>
    <col width="15" customWidth="1" min="12" max="12"/>
    <col width="60.1796875" customWidth="1" min="24" max="24"/>
  </cols>
  <sheetData>
    <row r="2" ht="62" customHeight="1">
      <c r="B2" s="7" t="inlineStr">
        <is>
          <t>Sl.No.</t>
        </is>
      </c>
      <c r="C2" s="1" t="inlineStr">
        <is>
          <t>State</t>
        </is>
      </c>
      <c r="D2" s="1" t="inlineStr">
        <is>
          <t>Region</t>
        </is>
      </c>
      <c r="E2" s="1" t="inlineStr">
        <is>
          <t>Pooling S/s</t>
        </is>
      </c>
      <c r="F2" s="1" t="inlineStr">
        <is>
          <t>Additional Information of Pooling S/s</t>
        </is>
      </c>
      <c r="G2" s="1" t="inlineStr">
        <is>
          <t>Timelines</t>
        </is>
      </c>
      <c r="H2" s="4" t="inlineStr">
        <is>
          <t>RE Potential</t>
        </is>
      </c>
      <c r="I2" s="4" t="n"/>
      <c r="J2" s="4" t="n"/>
      <c r="K2" s="1" t="inlineStr">
        <is>
          <t>Expected CoD of Pooling Station</t>
        </is>
      </c>
      <c r="L2" s="4" t="inlineStr">
        <is>
          <t>Connectivity Granted/ Agreed</t>
        </is>
      </c>
      <c r="M2" s="4" t="n"/>
      <c r="N2" s="4" t="n"/>
      <c r="O2" s="4" t="inlineStr">
        <is>
          <t>Connectivity Granted/ Agreed</t>
        </is>
      </c>
      <c r="P2" s="4" t="n"/>
      <c r="Q2" s="4" t="n"/>
      <c r="R2" s="4" t="inlineStr">
        <is>
          <t>Margin for Connectivity</t>
        </is>
      </c>
      <c r="S2" s="4" t="n"/>
      <c r="T2" s="4" t="n"/>
      <c r="U2" s="4" t="inlineStr">
        <is>
          <t>Additional Margin for Connectivity requiring ICT Augmentation / additional Tr. System</t>
        </is>
      </c>
      <c r="V2" s="4" t="n"/>
      <c r="W2" s="4" t="n"/>
      <c r="X2" s="4" t="inlineStr">
        <is>
          <t>Effectiveness of GNA for Capacity mentioned under "Margin for Connectivity</t>
        </is>
      </c>
    </row>
    <row r="3" ht="31" customHeight="1">
      <c r="B3" s="8" t="n"/>
      <c r="C3" s="2" t="n"/>
      <c r="D3" s="2" t="n"/>
      <c r="E3" s="2" t="n"/>
      <c r="F3" s="2" t="n"/>
      <c r="G3" s="2" t="n"/>
      <c r="H3" s="6" t="inlineStr">
        <is>
          <t>RE Potential (MW) [A]</t>
        </is>
      </c>
      <c r="I3" s="6" t="inlineStr">
        <is>
          <t>BESS (MW) [B]</t>
        </is>
      </c>
      <c r="J3" s="6" t="inlineStr">
        <is>
          <t>S/s Evacuation Capacity (RE Potential - BESS [AB])</t>
        </is>
      </c>
      <c r="K3" s="2" t="n"/>
      <c r="L3" s="6" t="inlineStr">
        <is>
          <t>200 kV</t>
        </is>
      </c>
      <c r="M3" s="6" t="inlineStr">
        <is>
          <t>400 kV</t>
        </is>
      </c>
      <c r="N3" s="6" t="inlineStr">
        <is>
          <t>Total (MW)</t>
        </is>
      </c>
      <c r="O3" s="6" t="inlineStr">
        <is>
          <t>200 kV</t>
        </is>
      </c>
      <c r="P3" s="6" t="inlineStr">
        <is>
          <t>400 kV</t>
        </is>
      </c>
      <c r="Q3" s="6" t="inlineStr">
        <is>
          <t>Total (MW)</t>
        </is>
      </c>
      <c r="R3" s="6" t="inlineStr">
        <is>
          <t>200 kV</t>
        </is>
      </c>
      <c r="S3" s="6" t="inlineStr">
        <is>
          <t>400 kV</t>
        </is>
      </c>
      <c r="T3" s="6" t="inlineStr">
        <is>
          <t>Total (MW)</t>
        </is>
      </c>
      <c r="U3" s="6" t="inlineStr">
        <is>
          <t>200 kV</t>
        </is>
      </c>
      <c r="V3" s="6" t="inlineStr">
        <is>
          <t>400 kV</t>
        </is>
      </c>
      <c r="W3" s="6" t="inlineStr">
        <is>
          <t>Total (MW)</t>
        </is>
      </c>
      <c r="X3" s="6" t="n"/>
    </row>
    <row r="4">
      <c r="B4" s="14" t="n"/>
      <c r="C4" s="14" t="n"/>
      <c r="D4" s="14" t="n"/>
      <c r="E4" s="14" t="n"/>
      <c r="F4" s="14" t="n"/>
      <c r="G4" s="26" t="inlineStr">
        <is>
          <t>Existing PS</t>
        </is>
      </c>
      <c r="H4" s="14" t="n"/>
      <c r="I4" s="14" t="n"/>
      <c r="J4" s="14" t="n"/>
      <c r="K4" s="14" t="n"/>
      <c r="L4" s="14" t="n"/>
      <c r="M4" s="14" t="n"/>
      <c r="N4" s="14" t="n"/>
      <c r="O4" s="14" t="n"/>
      <c r="P4" s="14" t="n"/>
      <c r="Q4" s="14" t="n"/>
      <c r="R4" s="14" t="n"/>
      <c r="S4" s="14" t="n"/>
      <c r="T4" s="14" t="n"/>
      <c r="U4" s="14" t="n"/>
      <c r="V4" s="14" t="n"/>
      <c r="W4" s="14" t="n"/>
      <c r="X4" s="14" t="n"/>
    </row>
    <row r="5">
      <c r="B5" s="14" t="n"/>
      <c r="C5" s="14" t="n"/>
      <c r="D5" s="14" t="n"/>
      <c r="E5" s="14" t="n"/>
      <c r="F5" s="14" t="n"/>
      <c r="G5" s="14" t="inlineStr">
        <is>
          <t>Jul-25 to Dec-25</t>
        </is>
      </c>
      <c r="H5" s="14" t="n"/>
      <c r="I5" s="14" t="n"/>
      <c r="J5" s="14" t="n"/>
      <c r="K5" s="14" t="n"/>
      <c r="L5" s="14" t="n"/>
      <c r="M5" s="14" t="n"/>
      <c r="N5" s="14" t="n"/>
      <c r="O5" s="14" t="n"/>
      <c r="P5" s="14" t="n"/>
      <c r="Q5" s="14" t="n"/>
      <c r="R5" s="14" t="n"/>
      <c r="S5" s="14" t="n"/>
      <c r="T5" s="14" t="n"/>
      <c r="U5" s="14" t="n"/>
      <c r="V5" s="14" t="n"/>
      <c r="W5" s="14" t="n"/>
      <c r="X5" s="14" t="n"/>
    </row>
    <row r="6">
      <c r="B6" s="14" t="n"/>
      <c r="C6" s="14" t="n"/>
      <c r="D6" s="14" t="n"/>
      <c r="E6" s="14" t="n"/>
      <c r="F6" s="14" t="n"/>
      <c r="G6" s="14" t="inlineStr">
        <is>
          <t>Jan-26 to Jun-26</t>
        </is>
      </c>
      <c r="H6" s="14" t="n"/>
      <c r="I6" s="14" t="n"/>
      <c r="J6" s="14" t="n"/>
      <c r="K6" s="14" t="n"/>
      <c r="L6" s="14" t="n"/>
      <c r="M6" s="14" t="n"/>
      <c r="N6" s="14" t="n"/>
      <c r="O6" s="14" t="n"/>
      <c r="P6" s="14" t="n"/>
      <c r="Q6" s="14" t="n"/>
      <c r="R6" s="14" t="n"/>
      <c r="S6" s="14" t="n"/>
      <c r="T6" s="14" t="n"/>
      <c r="U6" s="14" t="n"/>
      <c r="V6" s="14" t="n"/>
      <c r="W6" s="14" t="n"/>
      <c r="X6" s="14" t="n"/>
    </row>
    <row r="7">
      <c r="B7" s="14" t="n"/>
      <c r="C7" s="14" t="n"/>
      <c r="D7" s="14" t="n"/>
      <c r="E7" s="14" t="n"/>
      <c r="F7" s="14" t="n"/>
      <c r="G7" s="14" t="inlineStr">
        <is>
          <t>Jul-26 to Dec-31</t>
        </is>
      </c>
      <c r="H7" s="14" t="n"/>
      <c r="I7" s="14" t="n"/>
      <c r="J7" s="14" t="n"/>
      <c r="K7" s="14" t="n"/>
      <c r="L7" s="14" t="n"/>
      <c r="M7" s="14" t="n"/>
      <c r="N7" s="14" t="n"/>
      <c r="O7" s="14" t="n"/>
      <c r="P7" s="14" t="n"/>
      <c r="Q7" s="14" t="n"/>
      <c r="R7" s="14" t="n"/>
      <c r="S7" s="14" t="n"/>
      <c r="T7" s="14" t="n"/>
      <c r="U7" s="14" t="n"/>
      <c r="V7" s="14" t="n"/>
      <c r="W7" s="14" t="n"/>
      <c r="X7" s="14" t="n"/>
    </row>
    <row r="8">
      <c r="B8" s="14" t="n"/>
      <c r="C8" s="14" t="n"/>
      <c r="D8" s="14" t="n"/>
      <c r="E8" s="14" t="n"/>
      <c r="F8" s="14" t="n"/>
      <c r="G8" s="14" t="inlineStr">
        <is>
          <t xml:space="preserve">Beyond Dec-25 </t>
        </is>
      </c>
      <c r="H8" s="14" t="n"/>
      <c r="I8" s="14" t="n"/>
      <c r="J8" s="14" t="n"/>
      <c r="K8" s="14" t="n"/>
      <c r="L8" s="14" t="n"/>
      <c r="M8" s="14" t="n"/>
      <c r="N8" s="14" t="n"/>
      <c r="O8" s="14" t="n"/>
      <c r="P8" s="14" t="n"/>
      <c r="Q8" s="14" t="n"/>
      <c r="R8" s="14" t="n"/>
      <c r="S8" s="14" t="n"/>
      <c r="T8" s="14" t="n"/>
      <c r="U8" s="14" t="n"/>
      <c r="V8" s="14" t="n"/>
      <c r="W8" s="14" t="n"/>
      <c r="X8" s="14" t="n"/>
    </row>
    <row r="9">
      <c r="A9" t="inlineStr">
        <is>
          <t>Data Scoure (Sl. No.(s)9)</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B4:O4"/>
  <sheetViews>
    <sheetView workbookViewId="0">
      <selection activeCell="K21" sqref="K21"/>
    </sheetView>
  </sheetViews>
  <sheetFormatPr baseColWidth="8" defaultRowHeight="12.5"/>
  <sheetData>
    <row r="4" ht="52" customHeight="1">
      <c r="B4" s="38" t="inlineStr">
        <is>
          <t>State</t>
        </is>
      </c>
      <c r="C4" s="38" t="inlineStr">
        <is>
          <t>Name of Station</t>
        </is>
      </c>
      <c r="D4" s="38" t="inlineStr">
        <is>
          <t>Capacity (MVA)</t>
        </is>
      </c>
      <c r="E4" s="38" t="inlineStr">
        <is>
          <t>Capacity Allocated (MW)</t>
        </is>
      </c>
      <c r="F4" s="38" t="inlineStr">
        <is>
          <t>Margin Existing 220kV (MW)</t>
        </is>
      </c>
      <c r="G4" s="38" t="inlineStr">
        <is>
          <t>Margin Existing 400kV (MW)</t>
        </is>
      </c>
      <c r="H4" s="38" t="inlineStr">
        <is>
          <t>Line Bays 220kV</t>
        </is>
      </c>
      <c r="I4" s="38" t="inlineStr">
        <is>
          <t>Line Bays 400kV</t>
        </is>
      </c>
      <c r="J4" s="38" t="inlineStr">
        <is>
          <t>Margin with ICT 220kV (MW)</t>
        </is>
      </c>
      <c r="K4" s="38" t="inlineStr">
        <is>
          <t>Margin with ICT 400kV (MW)</t>
        </is>
      </c>
      <c r="L4" s="38" t="inlineStr">
        <is>
          <t>Line Bays with ICT 220kV</t>
        </is>
      </c>
      <c r="M4" s="38" t="inlineStr">
        <is>
          <t>Line Bays with ICT 400kV</t>
        </is>
      </c>
      <c r="N4" s="38" t="inlineStr">
        <is>
          <t>No. of Transformers Required</t>
        </is>
      </c>
      <c r="O4" s="38" t="inlineStr">
        <is>
          <t>Remarks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3:I6"/>
  <sheetViews>
    <sheetView tabSelected="1" workbookViewId="0">
      <selection activeCell="G3" sqref="G3:I3"/>
    </sheetView>
  </sheetViews>
  <sheetFormatPr baseColWidth="8" defaultRowHeight="12.5"/>
  <cols>
    <col width="39.26953125" customWidth="1" min="1" max="1"/>
    <col width="11.1796875" customWidth="1" min="2" max="2"/>
    <col width="15.453125" customWidth="1" min="3" max="3"/>
    <col width="13.90625" customWidth="1" min="4" max="4"/>
    <col width="19.453125" customWidth="1" min="5" max="6"/>
    <col width="17.90625" customWidth="1" min="7" max="7"/>
    <col width="15.81640625" bestFit="1" customWidth="1" min="8" max="8"/>
    <col width="8.7265625" customWidth="1" min="9" max="9"/>
  </cols>
  <sheetData>
    <row r="3" ht="37.5" customHeight="1">
      <c r="B3" s="13" t="inlineStr">
        <is>
          <t>S.No.</t>
        </is>
      </c>
      <c r="C3" s="13" t="inlineStr">
        <is>
          <t>Region</t>
        </is>
      </c>
      <c r="D3" s="13" t="inlineStr">
        <is>
          <t>State</t>
        </is>
      </c>
      <c r="E3" s="13" t="inlineStr">
        <is>
          <t>Substation</t>
        </is>
      </c>
      <c r="F3" s="13" t="inlineStr">
        <is>
          <t>Voltage level (kV)</t>
        </is>
      </c>
      <c r="G3" s="41" t="inlineStr">
        <is>
          <t>Existing Capacity (MVA)</t>
        </is>
      </c>
      <c r="H3" s="41" t="inlineStr">
        <is>
          <t>Under Implementation Capacity (MVA)</t>
        </is>
      </c>
      <c r="I3" s="41" t="inlineStr">
        <is>
          <t>Planned Capacity (MVA)</t>
        </is>
      </c>
    </row>
    <row r="4">
      <c r="B4" s="14" t="n"/>
      <c r="C4" s="14" t="n"/>
      <c r="D4" s="14" t="n"/>
      <c r="E4" s="14" t="n"/>
      <c r="F4" s="14" t="n"/>
      <c r="G4" s="14" t="n"/>
      <c r="H4" s="14" t="n"/>
      <c r="I4" s="14" t="n"/>
    </row>
    <row r="6">
      <c r="A6" t="inlineStr">
        <is>
          <t>Data Scoure (Sl. No.(s)9)</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2:AE383"/>
  <sheetViews>
    <sheetView zoomScale="83" workbookViewId="0">
      <selection activeCell="A7" sqref="A7"/>
    </sheetView>
  </sheetViews>
  <sheetFormatPr baseColWidth="8" defaultRowHeight="12.5"/>
  <cols>
    <col width="37.81640625" customWidth="1" min="1" max="1"/>
    <col width="20.54296875" customWidth="1" min="2" max="2"/>
    <col width="21.26953125" customWidth="1" min="3" max="3"/>
    <col width="12.54296875" customWidth="1" min="4" max="4"/>
    <col width="15.453125" customWidth="1" min="5" max="16"/>
    <col width="11.1796875" customWidth="1" min="22" max="22"/>
    <col width="10.453125" customWidth="1" min="26" max="26"/>
    <col width="10" customWidth="1" min="27" max="27"/>
    <col width="12.7265625" bestFit="1" customWidth="1" min="28" max="28"/>
    <col width="16" bestFit="1" customWidth="1" min="29" max="29"/>
    <col width="10" customWidth="1" min="30" max="30"/>
  </cols>
  <sheetData>
    <row r="2" ht="46.5" customHeight="1">
      <c r="B2" s="1" t="inlineStr">
        <is>
          <t>Element Code</t>
        </is>
      </c>
      <c r="C2" s="1" t="inlineStr">
        <is>
          <t>Inter/Intra Tx. Element</t>
        </is>
      </c>
      <c r="D2" s="1" t="inlineStr">
        <is>
          <t>Transmission Scheme</t>
        </is>
      </c>
      <c r="E2" s="1" t="inlineStr">
        <is>
          <t>Transmission Scope</t>
        </is>
      </c>
      <c r="F2" s="1" t="inlineStr">
        <is>
          <t>MVA</t>
        </is>
      </c>
      <c r="G2" s="1" t="inlineStr">
        <is>
          <t>Status</t>
        </is>
      </c>
      <c r="H2" s="1" t="inlineStr">
        <is>
          <t>Approval of Elements in which NCT</t>
        </is>
      </c>
      <c r="I2" s="1" t="inlineStr">
        <is>
          <t>Mode (TBCB/RTM)</t>
        </is>
      </c>
      <c r="J2" s="1" t="inlineStr">
        <is>
          <t>Tender Issuing Authority</t>
        </is>
      </c>
      <c r="K2" s="1" t="inlineStr">
        <is>
          <t>Date of tender issuance</t>
        </is>
      </c>
      <c r="L2" s="1" t="inlineStr">
        <is>
          <t xml:space="preserve"> Date of Bid Submission</t>
        </is>
      </c>
      <c r="M2" s="1" t="inlineStr">
        <is>
          <t>Execution Timeline</t>
        </is>
      </c>
      <c r="N2" s="1" t="inlineStr">
        <is>
          <t>Tentative SCOD</t>
        </is>
      </c>
      <c r="O2" s="1" t="inlineStr">
        <is>
          <t>Awarded To</t>
        </is>
      </c>
      <c r="P2" s="1" t="inlineStr">
        <is>
          <t>SPV Transfer Date</t>
        </is>
      </c>
      <c r="Q2" s="4" t="inlineStr">
        <is>
          <t>Physical Progress S/s of Tx. Line</t>
        </is>
      </c>
      <c r="R2" s="4" t="n"/>
      <c r="S2" s="4" t="n"/>
      <c r="T2" s="4" t="n"/>
      <c r="U2" s="4" t="n"/>
      <c r="V2" s="4" t="n"/>
      <c r="W2" s="4" t="n"/>
      <c r="X2" s="4" t="n"/>
      <c r="Y2" s="4" t="inlineStr">
        <is>
          <t>Physical Progress  Substation</t>
        </is>
      </c>
      <c r="Z2" s="4" t="n"/>
      <c r="AA2" s="4" t="n"/>
      <c r="AB2" s="4" t="inlineStr">
        <is>
          <t>Original SCOD</t>
        </is>
      </c>
      <c r="AC2" s="4" t="inlineStr">
        <is>
          <t>Anticipated SCOD</t>
        </is>
      </c>
      <c r="AD2" s="4" t="inlineStr">
        <is>
          <t>Remarks</t>
        </is>
      </c>
    </row>
    <row r="3" ht="62" customHeight="1">
      <c r="B3" s="2" t="n"/>
      <c r="C3" s="2" t="n"/>
      <c r="D3" s="2" t="n"/>
      <c r="E3" s="2" t="n"/>
      <c r="F3" s="2" t="n"/>
      <c r="G3" s="2" t="n"/>
      <c r="H3" s="2" t="n"/>
      <c r="I3" s="2" t="n"/>
      <c r="J3" s="2" t="n"/>
      <c r="K3" s="2" t="n"/>
      <c r="L3" s="2" t="n"/>
      <c r="M3" s="2" t="n"/>
      <c r="N3" s="2" t="n"/>
      <c r="O3" s="2" t="n"/>
      <c r="P3" s="2" t="n"/>
      <c r="Q3" s="6" t="inlineStr">
        <is>
          <t>Length</t>
        </is>
      </c>
      <c r="R3" s="6" t="inlineStr">
        <is>
          <t>Location</t>
        </is>
      </c>
      <c r="S3" s="6" t="inlineStr">
        <is>
          <t>Foundation</t>
        </is>
      </c>
      <c r="T3" s="6" t="inlineStr">
        <is>
          <t>Erection</t>
        </is>
      </c>
      <c r="U3" s="6" t="inlineStr">
        <is>
          <t>Stringing</t>
        </is>
      </c>
      <c r="V3" s="6" t="inlineStr">
        <is>
          <t>Foundation (%)</t>
        </is>
      </c>
      <c r="W3" s="6" t="inlineStr">
        <is>
          <t>Erection (%)</t>
        </is>
      </c>
      <c r="X3" s="6" t="inlineStr">
        <is>
          <t>Stringing (%)</t>
        </is>
      </c>
      <c r="Y3" s="6" t="inlineStr">
        <is>
          <t>Civil Work (%)</t>
        </is>
      </c>
      <c r="Z3" s="6" t="inlineStr">
        <is>
          <t>Equipment Received (%)</t>
        </is>
      </c>
      <c r="AA3" s="6" t="inlineStr">
        <is>
          <t>Equipment Erected (%)</t>
        </is>
      </c>
      <c r="AB3" s="2" t="n"/>
      <c r="AC3" s="2" t="n"/>
      <c r="AD3" s="2" t="n"/>
    </row>
    <row r="4">
      <c r="B4" s="14" t="n"/>
      <c r="C4" s="14" t="n"/>
      <c r="D4" s="14" t="n"/>
      <c r="E4" s="14" t="inlineStr">
        <is>
          <t>Transmission system strengthening scheme for evacuation of
power from solar energy zones in Rajasthan (8.1 GW) under phase-
II- Part G
SPV Name: POWERGRID Narela Transmission Ltd.
(CKM-408, MVA-4500)</t>
        </is>
      </c>
      <c r="F4" s="14" t="n"/>
      <c r="G4" s="14" t="n"/>
      <c r="H4" s="14" t="n"/>
      <c r="I4" s="14" t="n"/>
      <c r="J4" s="14" t="n"/>
      <c r="K4" s="14" t="n"/>
      <c r="L4" s="14" t="n"/>
      <c r="M4" s="14" t="n">
        <v>24</v>
      </c>
      <c r="N4" s="15">
        <f>DATE(YEAR(TODAY()), MONTH(TODAY()+M4), DAY(TODAY()))</f>
        <v/>
      </c>
      <c r="O4" s="14" t="n"/>
      <c r="P4" s="14" t="inlineStr">
        <is>
          <t>May-22</t>
        </is>
      </c>
      <c r="Q4" s="14" t="n"/>
      <c r="R4" s="14" t="n"/>
      <c r="S4" s="14" t="n"/>
      <c r="T4" s="14" t="n"/>
      <c r="U4" s="14" t="n"/>
      <c r="V4" s="16" t="n"/>
      <c r="W4" s="16" t="n"/>
      <c r="X4" s="16" t="n"/>
      <c r="Y4" s="14" t="n"/>
      <c r="Z4" s="14" t="n"/>
      <c r="AA4" s="14" t="n"/>
      <c r="AB4" s="14" t="inlineStr">
        <is>
          <t>Nov-23</t>
        </is>
      </c>
      <c r="AC4" s="14" t="inlineStr">
        <is>
          <t>Dec - 25</t>
        </is>
      </c>
      <c r="AD4" s="14" t="n"/>
    </row>
    <row r="5">
      <c r="B5" s="14" t="n"/>
      <c r="C5" s="14" t="n"/>
      <c r="D5" s="14" t="n"/>
      <c r="E5" s="14" t="inlineStr">
        <is>
          <t>Khetri-Narela 765kV D/C Line</t>
        </is>
      </c>
      <c r="F5" s="14" t="n"/>
      <c r="G5" s="14" t="n"/>
      <c r="H5" s="14" t="n"/>
      <c r="I5" s="14" t="n"/>
      <c r="J5" s="14" t="n"/>
      <c r="K5" s="14" t="n"/>
      <c r="L5" s="15">
        <f>TODAY()</f>
        <v/>
      </c>
      <c r="M5" s="14" t="n">
        <v>21</v>
      </c>
      <c r="N5" s="15">
        <f>DATE(YEAR(L5),MONTH(L5)+M5,DAY(L5))</f>
        <v/>
      </c>
      <c r="O5" s="14" t="n"/>
      <c r="P5" s="14" t="inlineStr">
        <is>
          <t>May-22</t>
        </is>
      </c>
      <c r="Q5" s="14" t="n">
        <v>340</v>
      </c>
      <c r="R5" s="14" t="n">
        <v>463</v>
      </c>
      <c r="S5" s="14" t="n">
        <v>463</v>
      </c>
      <c r="T5" s="14" t="n">
        <v>463</v>
      </c>
      <c r="U5" s="14" t="n">
        <v>340</v>
      </c>
      <c r="V5" s="14" t="n">
        <v>1</v>
      </c>
      <c r="W5" s="14" t="n">
        <v>1</v>
      </c>
      <c r="X5" s="14" t="n">
        <v>1</v>
      </c>
      <c r="Y5" s="14" t="n"/>
      <c r="Z5" s="14" t="n"/>
      <c r="AA5" s="14" t="n"/>
      <c r="AB5" s="14" t="inlineStr">
        <is>
          <t>Nov-23</t>
        </is>
      </c>
      <c r="AC5" s="14" t="inlineStr">
        <is>
          <t>Dec - 25</t>
        </is>
      </c>
      <c r="AD5" s="14" t="inlineStr">
        <is>
          <t>Forest Delhi (0.95 Ha, 3 locs, 82.58 Ckm): Stage I&amp;II received.Tree felling
permission received from Hon'ble Supreme court vide order dated 26.05.25.</t>
        </is>
      </c>
    </row>
    <row r="6">
      <c r="A6" t="inlineStr">
        <is>
          <t>Data Scoure (Sl. No.(s)1, 2, 5, 6, 10b, 10c, 10d, 10e, 12)</t>
        </is>
      </c>
      <c r="E6" t="inlineStr">
        <is>
          <t>LILO of 765kV S/c Meerut – Bhiwani line at Narela</t>
        </is>
      </c>
      <c r="P6" t="inlineStr">
        <is>
          <t>May-22</t>
        </is>
      </c>
      <c r="R6" t="n">
        <v>97</v>
      </c>
      <c r="S6" t="n">
        <v>97</v>
      </c>
      <c r="T6" t="n">
        <v>97</v>
      </c>
      <c r="U6" t="n">
        <v>68</v>
      </c>
      <c r="V6" t="n">
        <v>1</v>
      </c>
      <c r="W6" t="n">
        <v>1</v>
      </c>
      <c r="AB6" t="inlineStr">
        <is>
          <t>Nov-23</t>
        </is>
      </c>
      <c r="AC6" t="inlineStr">
        <is>
          <t>Oct - 25</t>
        </is>
      </c>
      <c r="AD6" t="inlineStr">
        <is>
          <t>Line charged on 01.10.2025</t>
        </is>
      </c>
    </row>
    <row r="7">
      <c r="E7" t="inlineStr">
        <is>
          <t>3x1500MVA ,765/400kV GIS substation at Narela</t>
        </is>
      </c>
      <c r="P7" t="inlineStr">
        <is>
          <t>May-22</t>
        </is>
      </c>
      <c r="Y7" t="inlineStr">
        <is>
          <t>100.00%</t>
        </is>
      </c>
      <c r="Z7" t="inlineStr">
        <is>
          <t>100.00%</t>
        </is>
      </c>
      <c r="AA7" t="inlineStr">
        <is>
          <t>100.00%</t>
        </is>
      </c>
      <c r="AB7" t="inlineStr">
        <is>
          <t>Nov-23</t>
        </is>
      </c>
      <c r="AC7" t="inlineStr">
        <is>
          <t>Dec - 25</t>
        </is>
      </c>
      <c r="AD7" t="inlineStr">
        <is>
          <t>ICT-1&amp;3 Charged on 01.10.2025
ICT-2 Charged on 02.10.2025
Bays commissioning matching with Tx. Line</t>
        </is>
      </c>
    </row>
    <row r="8">
      <c r="E8" t="inlineStr">
        <is>
          <t>Transmission system associated with LTA applications from
Rajasthan SEZ Part-E, Phase-II
(SPV: POWERGRID Bhadla Sikar Transmission Limited)
(CKM-600)</t>
        </is>
      </c>
      <c r="P8" t="inlineStr">
        <is>
          <t>Mar-23</t>
        </is>
      </c>
      <c r="AB8" t="inlineStr">
        <is>
          <t>Sep-24</t>
        </is>
      </c>
      <c r="AC8" t="inlineStr">
        <is>
          <t>Dec - 25</t>
        </is>
      </c>
    </row>
    <row r="9">
      <c r="E9" t="inlineStr">
        <is>
          <t>Bhadla II - Sikar II 765 kV D/C line (2nd)</t>
        </is>
      </c>
      <c r="P9" t="inlineStr">
        <is>
          <t>Mar-23</t>
        </is>
      </c>
      <c r="Q9" t="n">
        <v>628</v>
      </c>
      <c r="R9" t="n">
        <v>816</v>
      </c>
      <c r="S9" t="n">
        <v>816</v>
      </c>
      <c r="T9" t="n">
        <v>816</v>
      </c>
      <c r="U9" t="n">
        <v>524.24</v>
      </c>
      <c r="V9" t="n">
        <v>1</v>
      </c>
      <c r="W9" t="n">
        <v>1</v>
      </c>
      <c r="X9" t="n">
        <v>0.83</v>
      </c>
      <c r="AB9" t="inlineStr">
        <is>
          <t>Sep-24</t>
        </is>
      </c>
      <c r="AC9" t="inlineStr">
        <is>
          <t>Dec - 25</t>
        </is>
      </c>
      <c r="AD9" t="inlineStr">
        <is>
          <t>Stringing RoW (10 locs): Sikar Dist. (10) in Rajasthan</t>
        </is>
      </c>
    </row>
    <row r="10">
      <c r="E10" t="inlineStr">
        <is>
          <t>Transmission scheme for evacuation of 4.5GW RE injection at
Khavda PS under Phase II- Part B (SPV Name: POWERGRID
KHAVDA II-B TRANSMISSION LIMITED)
(CKM-368)</t>
        </is>
      </c>
      <c r="P10" t="inlineStr">
        <is>
          <t>Mar-23</t>
        </is>
      </c>
      <c r="AB10" t="inlineStr">
        <is>
          <t>Mar-25</t>
        </is>
      </c>
      <c r="AC10" t="inlineStr">
        <is>
          <t>Dec - 25</t>
        </is>
      </c>
    </row>
    <row r="11">
      <c r="E11" t="inlineStr">
        <is>
          <t>765kV D/C Lakadia PS-Ahmedabad Line</t>
        </is>
      </c>
      <c r="P11" t="inlineStr">
        <is>
          <t>Mar-23</t>
        </is>
      </c>
      <c r="Q11" t="n">
        <v>368</v>
      </c>
      <c r="R11" t="n">
        <v>476</v>
      </c>
      <c r="S11" t="n">
        <v>476</v>
      </c>
      <c r="T11" t="n">
        <v>476</v>
      </c>
      <c r="U11" t="n">
        <v>335.16</v>
      </c>
      <c r="V11" t="n">
        <v>1</v>
      </c>
      <c r="W11" t="n">
        <v>1</v>
      </c>
      <c r="X11" t="n">
        <v>0.91</v>
      </c>
      <c r="AB11" t="inlineStr">
        <is>
          <t>Mar-25</t>
        </is>
      </c>
      <c r="AC11" t="inlineStr">
        <is>
          <t>Dec - 25</t>
        </is>
      </c>
      <c r="AD11" t="inlineStr">
        <is>
          <t>Work affected due to severe RoW Issue.</t>
        </is>
      </c>
    </row>
    <row r="12">
      <c r="E12" t="inlineStr">
        <is>
          <t>Transmission scheme for evacuation of 4.5GW RE injection at
Khavda PS under Phase II- Part C (SPV Name: POWERGRID
KHAVDA II-C TRANSMISSION LIMITED)
(CKM-577, MVA-4500)</t>
        </is>
      </c>
      <c r="P12" t="inlineStr">
        <is>
          <t>Mar-23</t>
        </is>
      </c>
      <c r="AB12" t="inlineStr">
        <is>
          <t>Mar-25</t>
        </is>
      </c>
      <c r="AC12" t="inlineStr">
        <is>
          <t>Dec - 25</t>
        </is>
      </c>
    </row>
    <row r="13">
      <c r="E13" t="inlineStr">
        <is>
          <t>765kV D/C Ahemdabad- New Navsari (South Gujrat) line</t>
        </is>
      </c>
      <c r="P13" t="inlineStr">
        <is>
          <t>Mar-23</t>
        </is>
      </c>
      <c r="Q13" t="n">
        <v>590</v>
      </c>
      <c r="R13" t="n">
        <v>804</v>
      </c>
      <c r="S13" t="n">
        <v>803</v>
      </c>
      <c r="T13" t="n">
        <v>755</v>
      </c>
      <c r="U13" t="n">
        <v>426.44</v>
      </c>
      <c r="V13" t="n">
        <v>1</v>
      </c>
      <c r="W13" t="n">
        <v>0.9399999999999999</v>
      </c>
      <c r="X13" t="n">
        <v>0.72</v>
      </c>
      <c r="AB13" t="inlineStr">
        <is>
          <t>Mar-25</t>
        </is>
      </c>
      <c r="AC13" t="inlineStr">
        <is>
          <t>Dec - 25</t>
        </is>
      </c>
      <c r="AD13" t="inlineStr">
        <is>
          <t>Forest (5.13 Ha):Stage-II received on 04.02.2025</t>
        </is>
      </c>
    </row>
    <row r="14">
      <c r="E14" t="inlineStr">
        <is>
          <t>765/400kV 3x1500MVA Ahmedabad New S/s</t>
        </is>
      </c>
      <c r="P14" t="inlineStr">
        <is>
          <t>Mar-23</t>
        </is>
      </c>
      <c r="Y14" t="inlineStr">
        <is>
          <t>98.00%</t>
        </is>
      </c>
      <c r="Z14" t="inlineStr">
        <is>
          <t>100.00%</t>
        </is>
      </c>
      <c r="AA14" t="inlineStr">
        <is>
          <t>98.00%</t>
        </is>
      </c>
      <c r="AB14" t="inlineStr">
        <is>
          <t>Mar-25</t>
        </is>
      </c>
      <c r="AC14" t="inlineStr">
        <is>
          <t>Dec - 25</t>
        </is>
      </c>
      <c r="AD14" t="inlineStr">
        <is>
          <t>ICT-I &amp; II charged on 06.09.2025.
ICT-III charged on 14.11.2025.</t>
        </is>
      </c>
    </row>
    <row r="15">
      <c r="E15" t="inlineStr">
        <is>
          <t>Establishment of Khavda Pooling Station-2 (KPS2) in Khavda RE
Park (SPV: POWERGRID KPS2 TRANSMISSION SYSTEM LIMITED)
(MVA-6000)</t>
        </is>
      </c>
      <c r="P15" t="inlineStr">
        <is>
          <t>Mar-23</t>
        </is>
      </c>
      <c r="AB15" t="inlineStr">
        <is>
          <t>Dec-24</t>
        </is>
      </c>
      <c r="AC15" t="inlineStr">
        <is>
          <t>Dec - 25</t>
        </is>
      </c>
    </row>
    <row r="16">
      <c r="E16" t="inlineStr">
        <is>
          <t>765/400kV 4x1500MVA KPS2 New SS (GIS)</t>
        </is>
      </c>
      <c r="P16" t="inlineStr">
        <is>
          <t>Mar-23</t>
        </is>
      </c>
      <c r="Y16" t="inlineStr">
        <is>
          <t>98.00%</t>
        </is>
      </c>
      <c r="Z16" t="inlineStr">
        <is>
          <t>100.00%</t>
        </is>
      </c>
      <c r="AA16" t="inlineStr">
        <is>
          <t>98.00%</t>
        </is>
      </c>
      <c r="AB16" t="inlineStr">
        <is>
          <t>Dec-24</t>
        </is>
      </c>
      <c r="AC16" t="inlineStr">
        <is>
          <t>Dec - 25</t>
        </is>
      </c>
      <c r="AD16" t="inlineStr">
        <is>
          <t>330 MVAr 765kV BR-1 charged on 01.04.25.
ICT-1 charged on 12.04.2025.
ICT-2 charged on 25.07.2025.
ICT-3 charged on 07.11.2025.</t>
        </is>
      </c>
    </row>
    <row r="17">
      <c r="E17" t="inlineStr">
        <is>
          <t>Transmission scheme for Solar Energy Zone in Ananthpuram
(Ananthapur) (2500 MW) and Kurnool (1000 MW), Andhra
Pradesh</t>
        </is>
      </c>
      <c r="P17" t="inlineStr">
        <is>
          <t>Sep-23</t>
        </is>
      </c>
      <c r="AB17" t="inlineStr">
        <is>
          <t>Sep-25</t>
        </is>
      </c>
      <c r="AC17" t="inlineStr">
        <is>
          <t>Mar - 26</t>
        </is>
      </c>
    </row>
    <row r="18">
      <c r="E18" t="inlineStr">
        <is>
          <t>7x500 MVA , 400/220 KV Ananthpuram S/s</t>
        </is>
      </c>
      <c r="P18" t="inlineStr">
        <is>
          <t>Sep-23</t>
        </is>
      </c>
      <c r="Y18" t="inlineStr">
        <is>
          <t>90.00%</t>
        </is>
      </c>
      <c r="Z18" t="inlineStr">
        <is>
          <t>85.00%</t>
        </is>
      </c>
      <c r="AA18" t="inlineStr">
        <is>
          <t>30.00%</t>
        </is>
      </c>
      <c r="AB18" t="inlineStr">
        <is>
          <t>Sep-25</t>
        </is>
      </c>
      <c r="AC18" t="inlineStr">
        <is>
          <t>Mar - 26</t>
        </is>
      </c>
      <c r="AD18" t="inlineStr">
        <is>
          <t>Land (63.69 Acre) acquired</t>
        </is>
      </c>
    </row>
    <row r="19">
      <c r="E19" t="inlineStr">
        <is>
          <t>Ananthpuram PS-Kurnool-III PS 400 kV (Quad moose) D/c Line</t>
        </is>
      </c>
      <c r="P19" t="inlineStr">
        <is>
          <t>Sep-23</t>
        </is>
      </c>
      <c r="Q19" t="n">
        <v>171</v>
      </c>
      <c r="R19" t="n">
        <v>222</v>
      </c>
      <c r="S19" t="n">
        <v>222</v>
      </c>
      <c r="T19" t="n">
        <v>222</v>
      </c>
      <c r="U19" t="n">
        <v>146</v>
      </c>
      <c r="V19" t="n">
        <v>1</v>
      </c>
      <c r="W19" t="n">
        <v>1</v>
      </c>
      <c r="X19" t="n">
        <v>0.85</v>
      </c>
      <c r="AB19" t="inlineStr">
        <is>
          <t>Sep-25</t>
        </is>
      </c>
      <c r="AC19" t="inlineStr">
        <is>
          <t>Dec - 25</t>
        </is>
      </c>
    </row>
    <row r="20">
      <c r="E20" t="inlineStr">
        <is>
          <t>Ananthpuram PS-Cuddapah-400kV (Quad moose) D/c Line</t>
        </is>
      </c>
      <c r="P20" t="inlineStr">
        <is>
          <t>Sep-23</t>
        </is>
      </c>
      <c r="Q20" t="n">
        <v>371</v>
      </c>
      <c r="R20" t="n">
        <v>490</v>
      </c>
      <c r="S20" t="n">
        <v>470</v>
      </c>
      <c r="T20" t="n">
        <v>423</v>
      </c>
      <c r="U20" t="n">
        <v>149.3</v>
      </c>
      <c r="V20" t="n">
        <v>0.96</v>
      </c>
      <c r="W20" t="n">
        <v>0.86</v>
      </c>
      <c r="X20" t="n">
        <v>0.4</v>
      </c>
      <c r="AB20" t="inlineStr">
        <is>
          <t>Sep-25</t>
        </is>
      </c>
      <c r="AC20" t="inlineStr">
        <is>
          <t>Mar - 26</t>
        </is>
      </c>
      <c r="AD20" t="inlineStr">
        <is>
          <t>Foundation RoW (2 loc.): YSR kadapa (2) in Andhra pradesh.</t>
        </is>
      </c>
    </row>
    <row r="21">
      <c r="E21" t="inlineStr">
        <is>
          <t>Transmission system for evacuation of power from REZ in
Rajasthan (20 GW) under Phase-III part B1
SPV: POWERGRID Bhadla III Transmission Ltd</t>
        </is>
      </c>
      <c r="P21" t="inlineStr">
        <is>
          <t>Sep-23</t>
        </is>
      </c>
      <c r="AB21" t="inlineStr">
        <is>
          <t>Mar-25</t>
        </is>
      </c>
      <c r="AC21" t="inlineStr">
        <is>
          <t>Dec - 25</t>
        </is>
      </c>
    </row>
    <row r="22">
      <c r="E22" t="inlineStr">
        <is>
          <t>Bhadla-III PS – Sikar-II S/s 765 kV D/c line</t>
        </is>
      </c>
      <c r="P22" t="inlineStr">
        <is>
          <t>Sep-23</t>
        </is>
      </c>
      <c r="Q22" t="n">
        <v>650</v>
      </c>
      <c r="R22" t="n">
        <v>847</v>
      </c>
      <c r="S22" t="n">
        <v>847</v>
      </c>
      <c r="T22" t="n">
        <v>823</v>
      </c>
      <c r="U22" t="n">
        <v>395.84</v>
      </c>
      <c r="V22" t="n">
        <v>1</v>
      </c>
      <c r="W22" t="n">
        <v>0.97</v>
      </c>
      <c r="X22" t="n">
        <v>0.61</v>
      </c>
      <c r="AB22" t="inlineStr">
        <is>
          <t>Mar-25</t>
        </is>
      </c>
      <c r="AC22" t="inlineStr">
        <is>
          <t>Dec - 25</t>
        </is>
      </c>
      <c r="AD22" t="inlineStr">
        <is>
          <t>Stringing RoW Locs. (1 section): Didwana Kuchanamn (1) in Rajasthan.
Forest :Rajasthan (24.32 Ha, 5 locs, 25 km ):
Stage-I issued on 08.05.25. Stage-II issued on 08.09.2025.</t>
        </is>
      </c>
    </row>
    <row r="23">
      <c r="E23" t="inlineStr">
        <is>
          <t>2x1500MVA, 765/400KV &amp; 3x500 MVA, 400/220 kV Bhadla III New
S/s</t>
        </is>
      </c>
      <c r="P23" t="inlineStr">
        <is>
          <t>Sep-23</t>
        </is>
      </c>
      <c r="Y23" t="inlineStr">
        <is>
          <t>100.00%</t>
        </is>
      </c>
      <c r="Z23" t="inlineStr">
        <is>
          <t>99.00%</t>
        </is>
      </c>
      <c r="AA23" t="inlineStr">
        <is>
          <t>98.00%</t>
        </is>
      </c>
      <c r="AB23" t="inlineStr">
        <is>
          <t>Mar-25</t>
        </is>
      </c>
      <c r="AC23" t="inlineStr">
        <is>
          <t>Dec - 25</t>
        </is>
      </c>
    </row>
    <row r="24">
      <c r="E24" t="inlineStr">
        <is>
          <t>Transmission system associated with LTA applications from
Rajasthan SEZ Phase-III Part-C1,
SPV: POWERGRID Ramgarh II Transmission Ltd</t>
        </is>
      </c>
      <c r="P24" t="inlineStr">
        <is>
          <t>Oct-23</t>
        </is>
      </c>
      <c r="AB24" t="inlineStr">
        <is>
          <t>Apr-25</t>
        </is>
      </c>
      <c r="AC24" t="inlineStr">
        <is>
          <t>Mar - 26</t>
        </is>
      </c>
    </row>
    <row r="25">
      <c r="E25" t="inlineStr">
        <is>
          <t>2x1500MVA, 765/400KV &amp; 2X500MVA, 400/220 kV Ramgarh PS</t>
        </is>
      </c>
      <c r="P25" t="inlineStr">
        <is>
          <t>Oct-23</t>
        </is>
      </c>
      <c r="Y25" t="inlineStr">
        <is>
          <t>99.00%</t>
        </is>
      </c>
      <c r="Z25" t="inlineStr">
        <is>
          <t>100.00%</t>
        </is>
      </c>
      <c r="AA25" t="inlineStr">
        <is>
          <t>99.00%</t>
        </is>
      </c>
      <c r="AB25" t="inlineStr">
        <is>
          <t>Apr-25</t>
        </is>
      </c>
      <c r="AC25" t="inlineStr">
        <is>
          <t>Dec - 25</t>
        </is>
      </c>
      <c r="AD25" t="inlineStr">
        <is>
          <t>400kV ICT-1 Test charged from 33kV on 16.09.25.
awaiting for readiness of Bhadla-3 Substation &amp; B3S2 Line for evacuation of
Power.</t>
        </is>
      </c>
    </row>
    <row r="26">
      <c r="E26" t="inlineStr">
        <is>
          <t>Ramgarh PS- Bhadla-III PS 765kV D/C line</t>
        </is>
      </c>
      <c r="P26" t="inlineStr">
        <is>
          <t>Oct-23</t>
        </is>
      </c>
      <c r="Q26" t="n">
        <v>372</v>
      </c>
      <c r="R26" t="n">
        <v>467</v>
      </c>
      <c r="S26" t="n">
        <v>467</v>
      </c>
      <c r="T26" t="n">
        <v>467</v>
      </c>
      <c r="U26" t="n">
        <v>372</v>
      </c>
      <c r="V26" t="n">
        <v>1</v>
      </c>
      <c r="W26" t="n">
        <v>1</v>
      </c>
      <c r="X26" t="n">
        <v>1</v>
      </c>
      <c r="AB26" t="inlineStr">
        <is>
          <t>Apr-25</t>
        </is>
      </c>
      <c r="AC26" t="inlineStr">
        <is>
          <t>Dec - 25</t>
        </is>
      </c>
      <c r="AD26" t="inlineStr">
        <is>
          <t>Line is Ready for charging.</t>
        </is>
      </c>
    </row>
    <row r="27">
      <c r="E27" t="inlineStr">
        <is>
          <t>2x300 MVAr Statcom with 4x125 MVAr MSC, 2x125 MVAr MSR at
Ramgarh PS</t>
        </is>
      </c>
      <c r="P27" t="inlineStr">
        <is>
          <t>Oct-23</t>
        </is>
      </c>
      <c r="Y27" t="inlineStr">
        <is>
          <t>85.00%</t>
        </is>
      </c>
      <c r="Z27" t="inlineStr">
        <is>
          <t>42.00%</t>
        </is>
      </c>
      <c r="AA27" t="inlineStr">
        <is>
          <t>20.00%</t>
        </is>
      </c>
      <c r="AB27" t="inlineStr">
        <is>
          <t>Oct-25</t>
        </is>
      </c>
      <c r="AC27" t="inlineStr">
        <is>
          <t>Mar - 26</t>
        </is>
      </c>
      <c r="AD27" t="inlineStr">
        <is>
          <t>Work under progress</t>
        </is>
      </c>
    </row>
    <row r="28">
      <c r="E28" t="inlineStr">
        <is>
          <t>Transmission system for evacuation of power from REZ in
Rajasthan (20 GW) under Phase-III part H
SPV: POWERGRID Beawar DausaTransmission Ltd</t>
        </is>
      </c>
      <c r="P28" t="inlineStr">
        <is>
          <t>Oct-23</t>
        </is>
      </c>
      <c r="AB28" t="inlineStr">
        <is>
          <t>Apr-25</t>
        </is>
      </c>
      <c r="AC28" t="inlineStr">
        <is>
          <t>Jan - 26</t>
        </is>
      </c>
    </row>
    <row r="29">
      <c r="E29" t="inlineStr">
        <is>
          <t>Beawar-Dausa 765kV D/C line</t>
        </is>
      </c>
      <c r="P29" t="inlineStr">
        <is>
          <t>Oct-23</t>
        </is>
      </c>
      <c r="Q29" t="n">
        <v>474</v>
      </c>
      <c r="R29" t="n">
        <v>634</v>
      </c>
      <c r="S29" t="n">
        <v>626</v>
      </c>
      <c r="T29" t="n">
        <v>572</v>
      </c>
      <c r="U29" t="n">
        <v>219.86</v>
      </c>
      <c r="V29" t="n">
        <v>0.99</v>
      </c>
      <c r="W29" t="n">
        <v>0.9</v>
      </c>
      <c r="X29" t="n">
        <v>0.46</v>
      </c>
      <c r="AB29" t="inlineStr">
        <is>
          <t>Apr-25</t>
        </is>
      </c>
      <c r="AC29" t="inlineStr">
        <is>
          <t>Jan - 26</t>
        </is>
      </c>
      <c r="AD29" t="inlineStr">
        <is>
          <t>Foundation RoW locs.(2): Ajmer Dist. (2) in Rajasthan.
Erection RoW Locs. (7): Beawar (3), Ajmer (4) in Rajasthan.
Forest: (5.58 Ha, 02 locs, 2 Ckm): Stage-II issued on 24.05.25.</t>
        </is>
      </c>
    </row>
    <row r="30">
      <c r="E30" t="inlineStr">
        <is>
          <t>LILO of both circuits of Jaipur (Phagi)-Gwalior 765 kV D/c at Dausa</t>
        </is>
      </c>
      <c r="P30" t="inlineStr">
        <is>
          <t>Oct-23</t>
        </is>
      </c>
      <c r="Q30" t="n">
        <v>133</v>
      </c>
      <c r="R30" t="n">
        <v>173</v>
      </c>
      <c r="S30" t="n">
        <v>173</v>
      </c>
      <c r="T30" t="n">
        <v>160</v>
      </c>
      <c r="U30" t="n">
        <v>61.62</v>
      </c>
      <c r="V30" t="n">
        <v>1</v>
      </c>
      <c r="W30" t="n">
        <v>0.92</v>
      </c>
      <c r="X30" t="n">
        <v>0.46</v>
      </c>
      <c r="AB30" t="inlineStr">
        <is>
          <t>Apr-25</t>
        </is>
      </c>
      <c r="AC30" t="inlineStr">
        <is>
          <t>Dec - 25</t>
        </is>
      </c>
      <c r="AD30" t="inlineStr">
        <is>
          <t>Under progress</t>
        </is>
      </c>
    </row>
    <row r="31">
      <c r="E31" t="inlineStr">
        <is>
          <t>LILO of both circuits of Agra – Jaipur (south) 400kV D/c at Dausa</t>
        </is>
      </c>
      <c r="P31" t="inlineStr">
        <is>
          <t>Oct-23</t>
        </is>
      </c>
      <c r="R31" t="n">
        <v>59</v>
      </c>
      <c r="S31" t="n">
        <v>59</v>
      </c>
      <c r="T31" t="n">
        <v>59</v>
      </c>
      <c r="U31" t="n">
        <v>45</v>
      </c>
      <c r="V31" t="n">
        <v>1</v>
      </c>
      <c r="W31" t="n">
        <v>1</v>
      </c>
      <c r="AB31" t="inlineStr">
        <is>
          <t>Apr-25</t>
        </is>
      </c>
      <c r="AC31" t="inlineStr">
        <is>
          <t>Jul - 25</t>
        </is>
      </c>
      <c r="AD31" t="inlineStr">
        <is>
          <t>Line charged on 13.07.2025</t>
        </is>
      </c>
    </row>
    <row r="32">
      <c r="E32" t="inlineStr">
        <is>
          <t>2x1500MVA, 765/400KV Dausa S/s</t>
        </is>
      </c>
      <c r="P32" t="inlineStr">
        <is>
          <t>Oct-23</t>
        </is>
      </c>
      <c r="Y32" t="inlineStr">
        <is>
          <t>100.00%</t>
        </is>
      </c>
      <c r="Z32" t="inlineStr">
        <is>
          <t>100.00%</t>
        </is>
      </c>
      <c r="AA32" t="inlineStr">
        <is>
          <t>99.00%</t>
        </is>
      </c>
      <c r="AB32" t="inlineStr">
        <is>
          <t>Apr-25</t>
        </is>
      </c>
      <c r="AC32" t="inlineStr">
        <is>
          <t>Dec - 25</t>
        </is>
      </c>
      <c r="AD32" t="inlineStr">
        <is>
          <t>Land (114.879 Acre): All Acquired</t>
        </is>
      </c>
    </row>
    <row r="33">
      <c r="E33" t="inlineStr">
        <is>
          <t>Transmission Scheme for integration of Renewable Energy Zone
(Phase-II) in Koppal-II (Phase-A &amp; B) and Gadag-II
(Phase- A) in Karnataka
SPV: POWERGRID Koppal Gadag Transmission Ltd</t>
        </is>
      </c>
      <c r="P33" t="inlineStr">
        <is>
          <t>Dec-23</t>
        </is>
      </c>
      <c r="AB33" t="inlineStr">
        <is>
          <t>Dec-25</t>
        </is>
      </c>
      <c r="AC33" t="inlineStr">
        <is>
          <t>Jun - 26</t>
        </is>
      </c>
    </row>
    <row r="34">
      <c r="E34" t="inlineStr">
        <is>
          <t>Establishment of 765/400 kV 2x1500 MVA, 400/220 kV, 2x500 MVA
Koppal-II (Phase- A)</t>
        </is>
      </c>
      <c r="P34" t="inlineStr">
        <is>
          <t>Dec-23</t>
        </is>
      </c>
      <c r="Y34" t="inlineStr">
        <is>
          <t>80.00%</t>
        </is>
      </c>
      <c r="Z34" t="inlineStr">
        <is>
          <t>50.00%</t>
        </is>
      </c>
      <c r="AA34" t="inlineStr">
        <is>
          <t>10.00%</t>
        </is>
      </c>
      <c r="AB34" t="inlineStr">
        <is>
          <t>Dec-25</t>
        </is>
      </c>
      <c r="AC34" t="inlineStr">
        <is>
          <t>Mar - 26</t>
        </is>
      </c>
      <c r="AD34" t="inlineStr">
        <is>
          <t>Pvt. Land (174.575 Acre): Registry of 132.125 out of 140 acres of consented land
complete. advance possesion of remaining land has been given to POWERGRID
by Dist. Administration on 18.12.24.</t>
        </is>
      </c>
    </row>
    <row r="35">
      <c r="E35" t="inlineStr">
        <is>
          <t>Establishment of 400/220 kV, 2x500 MVA Gadag-II (Phase -A)
Pooling Station</t>
        </is>
      </c>
      <c r="P35" t="inlineStr">
        <is>
          <t>Dec-23</t>
        </is>
      </c>
      <c r="Y35" t="inlineStr">
        <is>
          <t>85.00%</t>
        </is>
      </c>
      <c r="Z35" t="inlineStr">
        <is>
          <t>95.00%</t>
        </is>
      </c>
      <c r="AA35" t="inlineStr">
        <is>
          <t>20.00%</t>
        </is>
      </c>
      <c r="AB35" t="inlineStr">
        <is>
          <t>Dec-25</t>
        </is>
      </c>
      <c r="AC35" t="inlineStr">
        <is>
          <t>Mar - 26</t>
        </is>
      </c>
      <c r="AD35" t="inlineStr">
        <is>
          <t>Pvt. Land (50.97 Acre): All acquired</t>
        </is>
      </c>
    </row>
    <row r="36">
      <c r="E36" t="inlineStr">
        <is>
          <t>Koppal-II PS – Narendra (New) 765 kV D/c line</t>
        </is>
      </c>
      <c r="P36" t="inlineStr">
        <is>
          <t>Dec-23</t>
        </is>
      </c>
      <c r="Q36" t="n">
        <v>238</v>
      </c>
      <c r="R36" t="n">
        <v>310</v>
      </c>
      <c r="S36" t="n">
        <v>257</v>
      </c>
      <c r="T36" t="n">
        <v>134</v>
      </c>
      <c r="V36" t="n">
        <v>0.83</v>
      </c>
      <c r="W36" t="n">
        <v>0.43</v>
      </c>
      <c r="X36" t="n">
        <v>0</v>
      </c>
      <c r="AB36" t="inlineStr">
        <is>
          <t>Dec-25</t>
        </is>
      </c>
      <c r="AC36" t="inlineStr">
        <is>
          <t>Jun - 26</t>
        </is>
      </c>
      <c r="AD36" t="inlineStr">
        <is>
          <t>Foundation RoW (36 loc.): Koppal (8), Vijaypura (24), Bagalkote (4) in Karnataka
Forest,Karnataka, Koppal (0.657 Ha, Nil locs., 0.2 Ckm)- Stage-II awaited</t>
        </is>
      </c>
    </row>
    <row r="37">
      <c r="E37" t="inlineStr">
        <is>
          <t>Gadag-II PS – Koppal-II PS 400 kV (Quad Moose) D/c line</t>
        </is>
      </c>
      <c r="P37" t="inlineStr">
        <is>
          <t>Dec-23</t>
        </is>
      </c>
      <c r="Q37" t="n">
        <v>77</v>
      </c>
      <c r="R37" t="n">
        <v>104</v>
      </c>
      <c r="S37" t="n">
        <v>70</v>
      </c>
      <c r="T37" t="n">
        <v>44</v>
      </c>
      <c r="V37" t="n">
        <v>0.67</v>
      </c>
      <c r="W37" t="n">
        <v>0.42</v>
      </c>
      <c r="X37" t="n">
        <v>0</v>
      </c>
      <c r="AB37" t="inlineStr">
        <is>
          <t>Dec-25</t>
        </is>
      </c>
      <c r="AC37" t="inlineStr">
        <is>
          <t>Mar - 26</t>
        </is>
      </c>
      <c r="AD37" t="inlineStr">
        <is>
          <t>Foundation RoW (42 loc.): Koppal Dist. (31), Gadag Dist. (11) in Karnataka</t>
        </is>
      </c>
    </row>
    <row r="38">
      <c r="E38" t="inlineStr">
        <is>
          <t>Koppal-II PS – Raichur 765 kV D/c line</t>
        </is>
      </c>
      <c r="P38" t="inlineStr">
        <is>
          <t>Dec-23</t>
        </is>
      </c>
      <c r="Q38" t="n">
        <v>293</v>
      </c>
      <c r="R38" t="n">
        <v>375</v>
      </c>
      <c r="S38" t="n">
        <v>346</v>
      </c>
      <c r="T38" t="n">
        <v>209</v>
      </c>
      <c r="U38" t="n">
        <v>31.38</v>
      </c>
      <c r="V38" t="n">
        <v>0.92</v>
      </c>
      <c r="W38" t="n">
        <v>0.5600000000000001</v>
      </c>
      <c r="X38" t="n">
        <v>0.11</v>
      </c>
      <c r="AB38" t="inlineStr">
        <is>
          <t>Dec-25</t>
        </is>
      </c>
      <c r="AC38" t="inlineStr">
        <is>
          <t>Mar - 26</t>
        </is>
      </c>
      <c r="AD38" t="inlineStr">
        <is>
          <t>Foundation RoW (12 loc.): Koppal Dist. (11), Raichur (1) in Karnataka
Erection RoW (1 loc): Koppal Dist. (1) in Karnataka.</t>
        </is>
      </c>
    </row>
    <row r="39">
      <c r="E39" t="inlineStr">
        <is>
          <t>Augmentation by 2x1500 MVA, 765/400 kV ICTs at Koppal-II PS</t>
        </is>
      </c>
      <c r="P39" t="inlineStr">
        <is>
          <t>Dec-23</t>
        </is>
      </c>
      <c r="Y39" t="inlineStr">
        <is>
          <t>80.00%</t>
        </is>
      </c>
      <c r="Z39" t="inlineStr">
        <is>
          <t>50.00%</t>
        </is>
      </c>
      <c r="AA39" t="inlineStr">
        <is>
          <t>10.00%</t>
        </is>
      </c>
      <c r="AB39" t="inlineStr">
        <is>
          <t>Dec-25</t>
        </is>
      </c>
      <c r="AC39" t="inlineStr">
        <is>
          <t>Mar - 26</t>
        </is>
      </c>
      <c r="AD39" t="inlineStr">
        <is>
          <t>Under progress</t>
        </is>
      </c>
    </row>
    <row r="40">
      <c r="E40" t="inlineStr">
        <is>
          <t>Augmentation by 2x500 MVA, 400/220 kV ICTs at Koppal-II PS</t>
        </is>
      </c>
      <c r="P40" t="inlineStr">
        <is>
          <t>Dec-23</t>
        </is>
      </c>
      <c r="Y40" t="inlineStr">
        <is>
          <t>80.00%</t>
        </is>
      </c>
      <c r="Z40" t="inlineStr">
        <is>
          <t>50.00%</t>
        </is>
      </c>
      <c r="AA40" t="inlineStr">
        <is>
          <t>10.00%</t>
        </is>
      </c>
      <c r="AB40" t="inlineStr">
        <is>
          <t>Dec-25</t>
        </is>
      </c>
      <c r="AC40" t="inlineStr">
        <is>
          <t>Mar - 26</t>
        </is>
      </c>
      <c r="AD40" t="inlineStr">
        <is>
          <t>Under progress</t>
        </is>
      </c>
    </row>
    <row r="41">
      <c r="E41" t="inlineStr">
        <is>
          <t>Transmission System for evacuation of additional 7 GW RE
Power from Khavda RE Park under Phase-III Part B
SPV: POWERGRID Vataman Transmission Ltd</t>
        </is>
      </c>
      <c r="P41" t="inlineStr">
        <is>
          <t>Dec-23</t>
        </is>
      </c>
      <c r="AB41" t="inlineStr">
        <is>
          <t>Dec-25</t>
        </is>
      </c>
      <c r="AC41" t="inlineStr">
        <is>
          <t>Dec - 26</t>
        </is>
      </c>
    </row>
    <row r="42">
      <c r="E42" t="inlineStr">
        <is>
          <t>Establishment of 765 kV switching station near Vataman</t>
        </is>
      </c>
      <c r="P42" t="inlineStr">
        <is>
          <t>Dec-23</t>
        </is>
      </c>
      <c r="Y42" t="inlineStr">
        <is>
          <t>10.00%</t>
        </is>
      </c>
      <c r="Z42" t="inlineStr">
        <is>
          <t>35.00%</t>
        </is>
      </c>
      <c r="AB42" t="inlineStr">
        <is>
          <t>Dec-25</t>
        </is>
      </c>
      <c r="AC42" t="inlineStr">
        <is>
          <t>Dec - 26</t>
        </is>
      </c>
      <c r="AD42" t="inlineStr">
        <is>
          <t>Land (154.36 Acre): Acquired</t>
        </is>
      </c>
    </row>
    <row r="43">
      <c r="E43" t="inlineStr">
        <is>
          <t>Halvad – Vataman 765 kV D/c line</t>
        </is>
      </c>
      <c r="P43" t="inlineStr">
        <is>
          <t>Dec-23</t>
        </is>
      </c>
      <c r="Q43" t="n">
        <v>254</v>
      </c>
      <c r="R43" t="n">
        <v>336</v>
      </c>
      <c r="S43" t="n">
        <v>143</v>
      </c>
      <c r="T43" t="n">
        <v>14</v>
      </c>
      <c r="V43" t="n">
        <v>0.43</v>
      </c>
      <c r="W43" t="n">
        <v>0.04</v>
      </c>
      <c r="X43" t="n">
        <v>0</v>
      </c>
      <c r="AB43" t="inlineStr">
        <is>
          <t>Dec-25</t>
        </is>
      </c>
      <c r="AC43" t="inlineStr">
        <is>
          <t>Dec - 26</t>
        </is>
      </c>
      <c r="AD43" t="inlineStr">
        <is>
          <t>Forest,Gujarat (2.717 Ha, 1 loc, 1.28Ckm)
Stage-II issued on 20.10.2025.</t>
        </is>
      </c>
    </row>
    <row r="44">
      <c r="E44" t="inlineStr">
        <is>
          <t>LILO of Lakadia – Vadodara 765 kV D/c line at Vataman 765 kV
switching station</t>
        </is>
      </c>
      <c r="P44" t="inlineStr">
        <is>
          <t>Dec-23</t>
        </is>
      </c>
      <c r="Q44" t="n">
        <v>56</v>
      </c>
      <c r="R44" t="n">
        <v>82</v>
      </c>
      <c r="S44" t="n">
        <v>54</v>
      </c>
      <c r="V44" t="n">
        <v>0.66</v>
      </c>
      <c r="W44" t="n">
        <v>0</v>
      </c>
      <c r="X44" t="n">
        <v>0</v>
      </c>
      <c r="AB44" t="inlineStr">
        <is>
          <t>Dec-25</t>
        </is>
      </c>
      <c r="AC44" t="inlineStr">
        <is>
          <t>Dec - 26</t>
        </is>
      </c>
      <c r="AD44" t="inlineStr">
        <is>
          <t>Gujarat (0.5424 Ha, Nil locs, 0.16Ckm)
Stage-II issued on 11.11.2025</t>
        </is>
      </c>
    </row>
    <row r="45">
      <c r="E45" t="inlineStr">
        <is>
          <t>Vataman switching station – Navsari (New)(GIS) 765 kV D/c line</t>
        </is>
      </c>
      <c r="P45" t="inlineStr">
        <is>
          <t>Dec-23</t>
        </is>
      </c>
      <c r="Q45" t="n">
        <v>495</v>
      </c>
      <c r="R45" t="n">
        <v>690</v>
      </c>
      <c r="S45" t="n">
        <v>353</v>
      </c>
      <c r="T45" t="n">
        <v>46</v>
      </c>
      <c r="V45" t="n">
        <v>0.51</v>
      </c>
      <c r="W45" t="n">
        <v>0.07000000000000001</v>
      </c>
      <c r="X45" t="n">
        <v>0</v>
      </c>
      <c r="AB45" t="inlineStr">
        <is>
          <t>Dec-25</t>
        </is>
      </c>
      <c r="AC45" t="inlineStr">
        <is>
          <t>Dec - 26</t>
        </is>
      </c>
      <c r="AD45" t="inlineStr">
        <is>
          <t>Gujarat (15.2371 Ha, 2 locs, 4.54 Ckm )-
Stage-II issued on 17.11.2025.</t>
        </is>
      </c>
    </row>
    <row r="46">
      <c r="E46" t="inlineStr">
        <is>
          <t>Transmission system for evacuation of power from
Rajasthan REZ Ph-IV (Part-1) (Bikaner Complex): PART-A
SPV: POWERGRID Bikaner Neemrana Transmission Ltd</t>
        </is>
      </c>
      <c r="P46" t="inlineStr">
        <is>
          <t>Dec-23</t>
        </is>
      </c>
      <c r="AB46" t="inlineStr">
        <is>
          <t>Dec-25</t>
        </is>
      </c>
      <c r="AC46" t="inlineStr">
        <is>
          <t>Jun - 26</t>
        </is>
      </c>
    </row>
    <row r="47">
      <c r="E47" t="inlineStr">
        <is>
          <t>Establishment of 6x1500 MVA (along with one spare unit of 500
MVA), 765/400 kV &amp; 5x500 MVA 400/220 kV Bikaner-III Pooling
Station</t>
        </is>
      </c>
      <c r="P47" t="inlineStr">
        <is>
          <t>Dec-23</t>
        </is>
      </c>
      <c r="Y47" t="inlineStr">
        <is>
          <t>90.00%</t>
        </is>
      </c>
      <c r="Z47" t="inlineStr">
        <is>
          <t>70.00%</t>
        </is>
      </c>
      <c r="AA47" t="inlineStr">
        <is>
          <t>30.00%</t>
        </is>
      </c>
      <c r="AB47" t="inlineStr">
        <is>
          <t>Dec-25</t>
        </is>
      </c>
      <c r="AC47" t="inlineStr">
        <is>
          <t>Mar - 26</t>
        </is>
      </c>
      <c r="AD47" t="inlineStr">
        <is>
          <t>Land (213.78 Acre): All Acquired.</t>
        </is>
      </c>
    </row>
    <row r="48">
      <c r="E48" t="inlineStr">
        <is>
          <t>Bikaner-II PS – Bikaner-III PS 400 kV D/c line (Quad)</t>
        </is>
      </c>
      <c r="P48" t="inlineStr">
        <is>
          <t>Dec-23</t>
        </is>
      </c>
      <c r="Q48" t="n">
        <v>62</v>
      </c>
      <c r="R48" t="n">
        <v>86</v>
      </c>
      <c r="S48" t="n">
        <v>66</v>
      </c>
      <c r="T48" t="n">
        <v>37</v>
      </c>
      <c r="V48" t="n">
        <v>0.77</v>
      </c>
      <c r="W48" t="n">
        <v>0.43</v>
      </c>
      <c r="X48" t="n">
        <v>0</v>
      </c>
      <c r="AB48" t="inlineStr">
        <is>
          <t>Dec-25</t>
        </is>
      </c>
      <c r="AC48" t="inlineStr">
        <is>
          <t>Mar - 26</t>
        </is>
      </c>
      <c r="AD48" t="inlineStr">
        <is>
          <t>Stringing RoW (3 locs.): Bikaner (5) in Rajasthan
Forest in Bikaner (0.442 Ha, Nil locs, 0.5km), Stage-II received on 24.11.25.</t>
        </is>
      </c>
    </row>
    <row r="49">
      <c r="E49" t="inlineStr">
        <is>
          <t>Bikaner-III - Neemrana-II 765 kV D/c line</t>
        </is>
      </c>
      <c r="P49" t="inlineStr">
        <is>
          <t>Dec-23</t>
        </is>
      </c>
      <c r="Q49" t="n">
        <v>682</v>
      </c>
      <c r="R49" t="n">
        <v>905</v>
      </c>
      <c r="S49" t="n">
        <v>865</v>
      </c>
      <c r="T49" t="n">
        <v>688</v>
      </c>
      <c r="U49" t="n">
        <v>61.82</v>
      </c>
      <c r="V49" t="n">
        <v>0.96</v>
      </c>
      <c r="W49" t="n">
        <v>0.76</v>
      </c>
      <c r="X49" t="n">
        <v>0.09</v>
      </c>
      <c r="AB49" t="inlineStr">
        <is>
          <t>Dec-25</t>
        </is>
      </c>
      <c r="AC49" t="inlineStr">
        <is>
          <t>Jun - 26</t>
        </is>
      </c>
      <c r="AD49" t="inlineStr">
        <is>
          <t>Foundation RoW (25 loc.): Churu (14), Jhunjhunu (8), Kotputli Behror (1) in
Rajasthan, Mahendragarh (1) in Haryana
Erection RoW (10 loc.):Mahendragarh (1) in Haryana, Bikaner (9) in Rajasthan
Forest:
i) Haryana (0.8361 Ha,6 loc, 1 km): Stage-II Awaited
ii) Rajasthan (1.916 Ha, 3 loc, 0.5 km) : Stage-II Awaited.</t>
        </is>
      </c>
    </row>
    <row r="50">
      <c r="E50" t="inlineStr">
        <is>
          <t>LILO of both circuits of 400 kV Bikaner (PG)-Bikaner-II D/c line at
Bikaner-III PS</t>
        </is>
      </c>
      <c r="P50" t="inlineStr">
        <is>
          <t>Dec-23</t>
        </is>
      </c>
      <c r="Q50" t="n">
        <v>74</v>
      </c>
      <c r="R50" t="n">
        <v>102</v>
      </c>
      <c r="S50" t="n">
        <v>102</v>
      </c>
      <c r="T50" t="n">
        <v>94</v>
      </c>
      <c r="U50" t="n">
        <v>31.52</v>
      </c>
      <c r="V50" t="n">
        <v>1</v>
      </c>
      <c r="W50" t="n">
        <v>0.92</v>
      </c>
      <c r="X50" t="n">
        <v>0.43</v>
      </c>
      <c r="AB50" t="inlineStr">
        <is>
          <t>Dec-25</t>
        </is>
      </c>
      <c r="AC50" t="inlineStr">
        <is>
          <t>Mar - 26</t>
        </is>
      </c>
      <c r="AD50" t="inlineStr">
        <is>
          <t>Stringing RoW (3 locs.): Bikaner (5) in Rajasthan</t>
        </is>
      </c>
    </row>
    <row r="51">
      <c r="E51" t="inlineStr">
        <is>
          <t>Transmission system for evacuation of power from
Rajasthan REZ Ph-IV (Part-1) (Bikaner Complex): PART-D
SPV: POWERGRID Neemrana Bareilly Transmission Ltd</t>
        </is>
      </c>
      <c r="P51" t="inlineStr">
        <is>
          <t>Dec-23</t>
        </is>
      </c>
      <c r="AB51" t="inlineStr">
        <is>
          <t>Dec-25</t>
        </is>
      </c>
      <c r="AC51" t="inlineStr">
        <is>
          <t>Jun - 26</t>
        </is>
      </c>
    </row>
    <row r="52">
      <c r="E52" t="inlineStr">
        <is>
          <t>Neemrana-II- Bareilly (PG) 765 kV D/c line</t>
        </is>
      </c>
      <c r="P52" t="inlineStr">
        <is>
          <t>Dec-23</t>
        </is>
      </c>
      <c r="Q52" t="n">
        <v>666</v>
      </c>
      <c r="R52" t="n">
        <v>863</v>
      </c>
      <c r="S52" t="n">
        <v>837</v>
      </c>
      <c r="T52" t="n">
        <v>732</v>
      </c>
      <c r="U52" t="n">
        <v>257.4</v>
      </c>
      <c r="V52" t="n">
        <v>0.97</v>
      </c>
      <c r="W52" t="n">
        <v>0.85</v>
      </c>
      <c r="X52" t="n">
        <v>0.39</v>
      </c>
      <c r="AB52" t="inlineStr">
        <is>
          <t>Dec-25</t>
        </is>
      </c>
      <c r="AC52" t="inlineStr">
        <is>
          <t>Jun - 26</t>
        </is>
      </c>
      <c r="AD52" t="inlineStr">
        <is>
          <t>i)Forest,Rajasthan, Alwar (16.054 Ha,6 loc, 3km) Division: Stage-II Awaited
ii) Forest, Haryana (11.849 Ha,2 loc, 2 km): Stage-I awaited
iii) Forest,Haryana, Palwal (2.37 Ha,19 loc, 24.2km): Stage-II obtained on 20.11.25.
iv) Forest, Uttar Pradesh (2.44 Ha,24loc, 5.5km): Stage-II Awaited</t>
        </is>
      </c>
    </row>
    <row r="53">
      <c r="E53" t="inlineStr">
        <is>
          <t>Transmission Scheme for Solar Energy Zone in Bidar (2500 MW),
Karnataka
(SPV Name: POWERGRID Bidar Transmission Limited)</t>
        </is>
      </c>
      <c r="P53" t="inlineStr">
        <is>
          <t>Feb-24</t>
        </is>
      </c>
      <c r="AB53" t="inlineStr">
        <is>
          <t>Feb-26</t>
        </is>
      </c>
      <c r="AC53" t="inlineStr">
        <is>
          <t>Jun - 26</t>
        </is>
      </c>
    </row>
    <row r="54">
      <c r="E54" t="inlineStr">
        <is>
          <t>Bidar PS–Maheshwaram (PG) 765KV D/C line</t>
        </is>
      </c>
      <c r="P54" t="inlineStr">
        <is>
          <t>Feb-24</t>
        </is>
      </c>
      <c r="Q54" t="n">
        <v>479</v>
      </c>
      <c r="R54" t="n">
        <v>628</v>
      </c>
      <c r="S54" t="n">
        <v>606</v>
      </c>
      <c r="T54" t="n">
        <v>506</v>
      </c>
      <c r="U54" t="n">
        <v>133.3</v>
      </c>
      <c r="V54" t="n">
        <v>0.96</v>
      </c>
      <c r="W54" t="n">
        <v>0.8100000000000001</v>
      </c>
      <c r="X54" t="n">
        <v>0.28</v>
      </c>
      <c r="AB54" t="inlineStr">
        <is>
          <t>Feb-26</t>
        </is>
      </c>
      <c r="AC54" t="inlineStr">
        <is>
          <t>Jun - 26</t>
        </is>
      </c>
      <c r="AD54" t="inlineStr">
        <is>
          <t>Foundation RoW (22 loc.): Bidar District (2), Ranga Reddy District (20) in
Telangana.
Erection RoW (11 loc.): Ranga Reddy District (11) in Telangana.</t>
        </is>
      </c>
    </row>
    <row r="55">
      <c r="E55" t="inlineStr">
        <is>
          <t>Establishement of Bidar PS 3x1500 MVA, 765/400 kV and 5x500
MVA, 400/220 kV ICTs</t>
        </is>
      </c>
      <c r="P55" t="inlineStr">
        <is>
          <t>Feb-24</t>
        </is>
      </c>
      <c r="Y55" t="inlineStr">
        <is>
          <t>80.00%</t>
        </is>
      </c>
      <c r="Z55" t="inlineStr">
        <is>
          <t>80.00%</t>
        </is>
      </c>
      <c r="AA55" t="inlineStr">
        <is>
          <t>20.00%</t>
        </is>
      </c>
      <c r="AB55" t="inlineStr">
        <is>
          <t>Feb-26</t>
        </is>
      </c>
      <c r="AC55" t="inlineStr">
        <is>
          <t>Jun - 26</t>
        </is>
      </c>
      <c r="AD55" t="inlineStr">
        <is>
          <t>Pvt Land (162.07 Acre), Pending (8.87) Acre
The pending land (8.87 acres) is being acquired through RFTLARR Act, 2013.</t>
        </is>
      </c>
    </row>
    <row r="56">
      <c r="E56" t="inlineStr">
        <is>
          <t>Transmission Scheme for Evacuation of power from REZ in
Rajasthan (20 GW) under Phase-III Part D
(SPV: POWERGRIDSikar Khetri Transmission Limited)</t>
        </is>
      </c>
      <c r="P56" t="inlineStr">
        <is>
          <t>Feb-24</t>
        </is>
      </c>
      <c r="AB56" t="inlineStr">
        <is>
          <t>Aug-25</t>
        </is>
      </c>
      <c r="AC56" t="inlineStr">
        <is>
          <t>Jun - 26</t>
        </is>
      </c>
    </row>
    <row r="57">
      <c r="E57" t="inlineStr">
        <is>
          <t>Sikar-II –Narela 765 kV D/C line</t>
        </is>
      </c>
      <c r="P57" t="inlineStr">
        <is>
          <t>Feb-24</t>
        </is>
      </c>
      <c r="Q57" t="n">
        <v>473</v>
      </c>
      <c r="R57" t="n">
        <v>630</v>
      </c>
      <c r="S57" t="n">
        <v>482</v>
      </c>
      <c r="T57" t="n">
        <v>386</v>
      </c>
      <c r="U57" t="n">
        <v>99.5</v>
      </c>
      <c r="V57" t="n">
        <v>0.77</v>
      </c>
      <c r="W57" t="n">
        <v>0.61</v>
      </c>
      <c r="X57" t="n">
        <v>0.21</v>
      </c>
      <c r="AB57" t="inlineStr">
        <is>
          <t>Aug-25</t>
        </is>
      </c>
      <c r="AC57" t="inlineStr">
        <is>
          <t>Jun - 26</t>
        </is>
      </c>
      <c r="AD57" t="inlineStr">
        <is>
          <t>Forest:
i)Haryana (16.75 Ha, 0 loc, 6 km)- Stage-I Awaited.
ii) Delhi (1.319 ha, 0 loc, 1.2 km): Stage-I awaited.</t>
        </is>
      </c>
    </row>
    <row r="58">
      <c r="E58" t="inlineStr">
        <is>
          <t>Sikar-II –Khetri765 kV D/C line</t>
        </is>
      </c>
      <c r="P58" t="inlineStr">
        <is>
          <t>Feb-24</t>
        </is>
      </c>
      <c r="Q58" t="n">
        <v>144</v>
      </c>
      <c r="R58" t="n">
        <v>198</v>
      </c>
      <c r="S58" t="n">
        <v>173</v>
      </c>
      <c r="T58" t="n">
        <v>150</v>
      </c>
      <c r="U58" t="n">
        <v>33.7</v>
      </c>
      <c r="V58" t="n">
        <v>0.87</v>
      </c>
      <c r="W58" t="n">
        <v>0.76</v>
      </c>
      <c r="X58" t="n">
        <v>0.23</v>
      </c>
      <c r="AB58" t="inlineStr">
        <is>
          <t>Aug-25</t>
        </is>
      </c>
      <c r="AC58" t="inlineStr">
        <is>
          <t>Jun - 26</t>
        </is>
      </c>
      <c r="AD58" t="inlineStr">
        <is>
          <t>Forest
i)Rajasthan (29.97 Ha, 15 locs, 8km)- Stage-I Awaited
Proposal submitted 22.07.24. Area modified to 29.9758 ha. Revised documents
uploaded on 28.07.25. Proposal forwarded by NO to SG on 28.11.25.</t>
        </is>
      </c>
    </row>
    <row r="59">
      <c r="E59" t="inlineStr">
        <is>
          <t>Transmission Scheme for Evacuation of power from potential
renewable energy zone in Khavda area of Gujarat under Phase-IV
(7 GW):Part E2
(SPV: POWERGRID Khavda IV-E2 Power Transmission Ltd)</t>
        </is>
      </c>
      <c r="P59" t="inlineStr">
        <is>
          <t>May-24</t>
        </is>
      </c>
      <c r="AB59" t="inlineStr">
        <is>
          <t>Feb-26</t>
        </is>
      </c>
      <c r="AC59" t="inlineStr">
        <is>
          <t>Jun - 26</t>
        </is>
      </c>
    </row>
    <row r="60">
      <c r="E60" t="inlineStr">
        <is>
          <t>Augmentaion of transformation capacity at KPS2 GIS by 2x1500
MVA, 765/400 kV ICT on Bus Section-I (5th &amp; 6th) &amp; 2x1500 MVA,
765/400 kV ICT on Bus Section-II (7th &amp; 8th)</t>
        </is>
      </c>
      <c r="P60" t="inlineStr">
        <is>
          <t>May-24</t>
        </is>
      </c>
      <c r="Y60" t="inlineStr">
        <is>
          <t>50.00%</t>
        </is>
      </c>
      <c r="Z60" t="inlineStr">
        <is>
          <t>20.00%</t>
        </is>
      </c>
      <c r="AB60" t="inlineStr">
        <is>
          <t>Feb-26</t>
        </is>
      </c>
      <c r="AC60" t="inlineStr">
        <is>
          <t>Jun - 26</t>
        </is>
      </c>
      <c r="AD60" t="inlineStr">
        <is>
          <t>Work under progress.</t>
        </is>
      </c>
    </row>
    <row r="61">
      <c r="E61" t="inlineStr">
        <is>
          <t>Transmission System for Evacuation of Power from Rajasthan REZ
Ph-IV (Part-2: 5.5 GW) (Jaisalmer/Barmer Complex): Part C
(SPV Name: POWERGRID Mandsaur Transmission Limited)</t>
        </is>
      </c>
      <c r="P61" t="inlineStr">
        <is>
          <t>Aug-24</t>
        </is>
      </c>
      <c r="AB61" t="inlineStr">
        <is>
          <t>Aug-26</t>
        </is>
      </c>
      <c r="AC61" t="inlineStr">
        <is>
          <t>Dec - 26</t>
        </is>
      </c>
    </row>
    <row r="62">
      <c r="E62" t="inlineStr">
        <is>
          <t>Establishment of 3x1500 MVA, 765/400 kV and 5x500 MVA, 400/220
kV Mandsaur Pooling Station</t>
        </is>
      </c>
      <c r="P62" t="inlineStr">
        <is>
          <t>Aug-24</t>
        </is>
      </c>
      <c r="Y62" t="inlineStr">
        <is>
          <t>58.00%</t>
        </is>
      </c>
      <c r="Z62" t="inlineStr">
        <is>
          <t>22.00%</t>
        </is>
      </c>
      <c r="AA62" t="inlineStr">
        <is>
          <t>2.00%</t>
        </is>
      </c>
      <c r="AB62" t="inlineStr">
        <is>
          <t>Aug-26</t>
        </is>
      </c>
      <c r="AC62" t="inlineStr">
        <is>
          <t>Dec - 26</t>
        </is>
      </c>
      <c r="AD62" t="inlineStr">
        <is>
          <t>Pvt. land (36.32 Acre): Pending (5.24 Acre). Registry of remaining land 5.24 acre is
under process.
Patta (16.8 Acre): Pending (16.8) Acre. Applied on 29.04.2024. Sale permission
notification under process. Regular followup with DM is being made.</t>
        </is>
      </c>
    </row>
    <row r="63">
      <c r="E63" t="inlineStr">
        <is>
          <t>Mandsaur PS - Indore (PG) 765 kV D/C Line</t>
        </is>
      </c>
      <c r="P63" t="inlineStr">
        <is>
          <t>Aug-24</t>
        </is>
      </c>
      <c r="Q63" t="n">
        <v>338</v>
      </c>
      <c r="R63" t="n">
        <v>445</v>
      </c>
      <c r="S63" t="n">
        <v>329</v>
      </c>
      <c r="T63" t="n">
        <v>201</v>
      </c>
      <c r="V63" t="n">
        <v>0.74</v>
      </c>
      <c r="W63" t="n">
        <v>0.45</v>
      </c>
      <c r="X63" t="n">
        <v>0</v>
      </c>
      <c r="AB63" t="inlineStr">
        <is>
          <t>Aug-26</t>
        </is>
      </c>
      <c r="AC63" t="inlineStr">
        <is>
          <t>Aug - 26</t>
        </is>
      </c>
      <c r="AD63" t="inlineStr">
        <is>
          <t>Foundation RoW (12 locs):
Indore (8), Ujjain(4) in Madhya Pradesh.</t>
        </is>
      </c>
    </row>
    <row r="64">
      <c r="E64" t="inlineStr">
        <is>
          <t>Transmission System for Evacuation of Power from Rajasthan REZ
Ph-IV (Part-2: 5.5 GW) (Jaisalmer/Barmer Complex): Part E
(SPV Name: POWERGRID Mewar Transmission Limited)</t>
        </is>
      </c>
      <c r="P64" t="inlineStr">
        <is>
          <t>Aug-24</t>
        </is>
      </c>
      <c r="AB64" t="inlineStr">
        <is>
          <t>Aug-26</t>
        </is>
      </c>
      <c r="AC64" t="inlineStr">
        <is>
          <t>Mar - 27</t>
        </is>
      </c>
    </row>
    <row r="65">
      <c r="E65" t="inlineStr">
        <is>
          <t>Establishment of 765 kV Substation at suitable location near
Rishabdeo (Distt. Udaipur)</t>
        </is>
      </c>
      <c r="P65" t="inlineStr">
        <is>
          <t>Aug-24</t>
        </is>
      </c>
      <c r="AB65" t="inlineStr">
        <is>
          <t>Aug-26</t>
        </is>
      </c>
      <c r="AC65" t="inlineStr">
        <is>
          <t>Mar - 27</t>
        </is>
      </c>
      <c r="AD65" t="inlineStr">
        <is>
          <t>Land (197.68 Acre): Pending (197.68) Acre
*Govt . Land acquisition was completed, now acquired land has been converted
to wet land.
Subsequently two alternative sites has been identified.</t>
        </is>
      </c>
    </row>
    <row r="66">
      <c r="E66" t="inlineStr">
        <is>
          <t>Sirohi PS - Rishabdeo 765 kV D/C line</t>
        </is>
      </c>
      <c r="P66" t="inlineStr">
        <is>
          <t>Aug-24</t>
        </is>
      </c>
      <c r="Q66" t="n">
        <v>421</v>
      </c>
      <c r="R66" t="n">
        <v>582</v>
      </c>
      <c r="S66" t="n">
        <v>365</v>
      </c>
      <c r="T66" t="n">
        <v>173</v>
      </c>
      <c r="U66" t="n">
        <v>3.28</v>
      </c>
      <c r="V66" t="n">
        <v>0.63</v>
      </c>
      <c r="W66" t="n">
        <v>0.3</v>
      </c>
      <c r="X66" t="n">
        <v>0.01</v>
      </c>
      <c r="AB66" t="inlineStr">
        <is>
          <t>Aug-26</t>
        </is>
      </c>
      <c r="AC66" t="inlineStr">
        <is>
          <t>Mar - 27</t>
        </is>
      </c>
      <c r="AD66" t="inlineStr">
        <is>
          <t>Foundation RoW (13 locs): Sirohi (9), Udaipur (4) in Rajasthan.
Forest: Rajasthan (101.29 Ha, 46 locs, 15.15 km)- Stage-I Awaited</t>
        </is>
      </c>
    </row>
    <row r="67">
      <c r="E67" t="inlineStr">
        <is>
          <t>Rishabdeo - Mandsaur PS 765 kV D/C line</t>
        </is>
      </c>
      <c r="P67" t="inlineStr">
        <is>
          <t>Aug-24</t>
        </is>
      </c>
      <c r="Q67" t="n">
        <v>250</v>
      </c>
      <c r="R67" t="n">
        <v>327</v>
      </c>
      <c r="S67" t="n">
        <v>247</v>
      </c>
      <c r="T67" t="n">
        <v>141</v>
      </c>
      <c r="V67" t="n">
        <v>0.76</v>
      </c>
      <c r="W67" t="n">
        <v>0.43</v>
      </c>
      <c r="X67" t="n">
        <v>0</v>
      </c>
      <c r="AB67" t="inlineStr">
        <is>
          <t>Aug-26</t>
        </is>
      </c>
      <c r="AC67" t="inlineStr">
        <is>
          <t>Mar - 27</t>
        </is>
      </c>
      <c r="AD67" t="inlineStr">
        <is>
          <t>Forest: Rajasthan (6.458 Ha, 3 locs, 3 km)- Stage-II received on 20.11.25.</t>
        </is>
      </c>
    </row>
    <row r="68">
      <c r="E68" t="inlineStr">
        <is>
          <t>LILO of one circuit of 765 kV Chittorgarh - Banaskanta D/C line at
Rishabdeo S/S</t>
        </is>
      </c>
      <c r="P68" t="inlineStr">
        <is>
          <t>Aug-24</t>
        </is>
      </c>
      <c r="Q68" t="n">
        <v>25</v>
      </c>
      <c r="R68" t="n">
        <v>34</v>
      </c>
      <c r="S68" t="n">
        <v>5</v>
      </c>
      <c r="V68" t="n">
        <v>0.15</v>
      </c>
      <c r="W68" t="n">
        <v>0</v>
      </c>
      <c r="X68" t="n">
        <v>0</v>
      </c>
      <c r="AB68" t="inlineStr">
        <is>
          <t>Aug-26</t>
        </is>
      </c>
      <c r="AC68" t="inlineStr">
        <is>
          <t>Mar - 27</t>
        </is>
      </c>
      <c r="AD68" t="inlineStr">
        <is>
          <t>Survey under progress</t>
        </is>
      </c>
    </row>
    <row r="69">
      <c r="E69" t="inlineStr">
        <is>
          <t>Transmission System for Evacuation of Power from Rajasthan REZ
Ph-IV (Part-2: 5.5 GW) (Jaisalmer/Barmer Complex): Part B
(SPV Name: POWERGRID Sirohi Transmission Limited)</t>
        </is>
      </c>
      <c r="P69" t="inlineStr">
        <is>
          <t>Aug-24</t>
        </is>
      </c>
      <c r="AB69" t="inlineStr">
        <is>
          <t>Aug-26</t>
        </is>
      </c>
      <c r="AC69" t="inlineStr">
        <is>
          <t>Dec - 26</t>
        </is>
      </c>
    </row>
    <row r="70">
      <c r="E70" t="inlineStr">
        <is>
          <t>Establishment of 2x1500MVA, 765/400 KV Substation at suitable
location near Sirohi</t>
        </is>
      </c>
      <c r="P70" t="inlineStr">
        <is>
          <t>Aug-24</t>
        </is>
      </c>
      <c r="Y70" t="inlineStr">
        <is>
          <t>20.00%</t>
        </is>
      </c>
      <c r="Z70" t="inlineStr">
        <is>
          <t>15.00%</t>
        </is>
      </c>
      <c r="AB70" t="inlineStr">
        <is>
          <t>Aug-26</t>
        </is>
      </c>
      <c r="AC70" t="inlineStr">
        <is>
          <t>Dec - 26</t>
        </is>
      </c>
      <c r="AD70" t="inlineStr">
        <is>
          <t>Work under progress</t>
        </is>
      </c>
    </row>
    <row r="71">
      <c r="E71" t="inlineStr">
        <is>
          <t>Fatehgarh-IV (Section-2) PS-Sirohi PS 765KV D/C Line</t>
        </is>
      </c>
      <c r="P71" t="inlineStr">
        <is>
          <t>Aug-24</t>
        </is>
      </c>
      <c r="Q71" t="n">
        <v>412</v>
      </c>
      <c r="R71" t="n">
        <v>537</v>
      </c>
      <c r="S71" t="n">
        <v>318</v>
      </c>
      <c r="T71" t="n">
        <v>184</v>
      </c>
      <c r="U71" t="n">
        <v>17.46</v>
      </c>
      <c r="V71" t="n">
        <v>0.59</v>
      </c>
      <c r="W71" t="n">
        <v>0.34</v>
      </c>
      <c r="X71" t="n">
        <v>0.04</v>
      </c>
      <c r="AB71" t="inlineStr">
        <is>
          <t>Aug-26</t>
        </is>
      </c>
      <c r="AC71" t="inlineStr">
        <is>
          <t>Dec - 26</t>
        </is>
      </c>
      <c r="AD71" t="inlineStr">
        <is>
          <t>Foundation RoW (58 loc.): Balotra (41), Jalore (6), Barmer (11)in Rajasthan</t>
        </is>
      </c>
    </row>
    <row r="72">
      <c r="E72" t="inlineStr">
        <is>
          <t>Sirohi PS-Chhitorgarh (PG) 400KV D/C Line (Quad)</t>
        </is>
      </c>
      <c r="P72" t="inlineStr">
        <is>
          <t>Aug-24</t>
        </is>
      </c>
      <c r="Q72" t="n">
        <v>445</v>
      </c>
      <c r="R72" t="n">
        <v>604</v>
      </c>
      <c r="S72" t="n">
        <v>370</v>
      </c>
      <c r="T72" t="n">
        <v>289</v>
      </c>
      <c r="V72" t="n">
        <v>0.61</v>
      </c>
      <c r="W72" t="n">
        <v>0.48</v>
      </c>
      <c r="X72" t="n">
        <v>0</v>
      </c>
      <c r="AB72" t="inlineStr">
        <is>
          <t>Aug-26</t>
        </is>
      </c>
      <c r="AC72" t="inlineStr">
        <is>
          <t>Dec - 26</t>
        </is>
      </c>
      <c r="AD72" t="inlineStr">
        <is>
          <t>Foundation RoW (6 loc.): Sirohi (6) in Rajasthan
i)Forest, Rajasthan (45.88 Ha, 34 locs, 9.97 km)- Stage-I Awaited
Proposal submitted on 25.01.2025. SG forwarded proposal to IRO on 10.11.25.</t>
        </is>
      </c>
    </row>
    <row r="73">
      <c r="E73" t="inlineStr">
        <is>
          <t>Transmission System for Evacuation of Power from Rajasthan REZ
Ph-IV (Part-2: 5.5 GW) (Jaisalmer/Barmer Complex): Part D
(SPV Name: POWERGRID Beawar-Mandsaur Transmission</t>
        </is>
      </c>
      <c r="P73" t="inlineStr">
        <is>
          <t>Aug-24</t>
        </is>
      </c>
      <c r="AB73" t="inlineStr">
        <is>
          <t>Aug-26</t>
        </is>
      </c>
      <c r="AC73" t="inlineStr">
        <is>
          <t>Aug - 26</t>
        </is>
      </c>
    </row>
    <row r="74">
      <c r="E74" t="inlineStr">
        <is>
          <t>Beawar-Mandsaur PS 765KV D/C line</t>
        </is>
      </c>
      <c r="P74" t="inlineStr">
        <is>
          <t>Aug-24</t>
        </is>
      </c>
      <c r="Q74" t="n">
        <v>553</v>
      </c>
      <c r="R74" t="n">
        <v>742</v>
      </c>
      <c r="S74" t="n">
        <v>535</v>
      </c>
      <c r="T74" t="n">
        <v>245</v>
      </c>
      <c r="V74" t="n">
        <v>0.72</v>
      </c>
      <c r="W74" t="n">
        <v>0.33</v>
      </c>
      <c r="X74" t="n">
        <v>0</v>
      </c>
      <c r="AB74" t="inlineStr">
        <is>
          <t>Aug-26</t>
        </is>
      </c>
      <c r="AC74" t="inlineStr">
        <is>
          <t>Aug - 26</t>
        </is>
      </c>
      <c r="AD74" t="inlineStr">
        <is>
          <t>Foundation RoW (40 loc.): Bhilwara (29), Beawar (11) in Rajasthan
i)Rajasthan (49.81 Ha,20 loc, 8km)- Stage-II Awaited
ii)Forest, Madhya Pradesh (14.08 Ha,6 loc, 2km)-Stage-II received on 27.11.25.</t>
        </is>
      </c>
    </row>
    <row r="75">
      <c r="E75" t="inlineStr">
        <is>
          <t>Transmission System for Evacuation of Power from Rajasthan REZ
Ph-IV (Part-2: 5.5 GW) (Jaisalmer/ Barmer Complex): Part H1
(SPV name: POWERGRID Kurawar Transmission Limited)</t>
        </is>
      </c>
      <c r="P75" t="inlineStr">
        <is>
          <t>Oct-24</t>
        </is>
      </c>
      <c r="AB75" t="inlineStr">
        <is>
          <t>Oct-26</t>
        </is>
      </c>
      <c r="AC75" t="inlineStr">
        <is>
          <t>Mar - 27</t>
        </is>
      </c>
    </row>
    <row r="76">
      <c r="E76" t="inlineStr">
        <is>
          <t>Establishment of 765/400/220/132kV at Kurawar S/s</t>
        </is>
      </c>
      <c r="P76" t="inlineStr">
        <is>
          <t>Oct-24</t>
        </is>
      </c>
      <c r="Y76" t="inlineStr">
        <is>
          <t>5.00%</t>
        </is>
      </c>
      <c r="Z76" t="inlineStr">
        <is>
          <t>1.00%</t>
        </is>
      </c>
      <c r="AB76" t="inlineStr">
        <is>
          <t>Oct-26</t>
        </is>
      </c>
      <c r="AC76" t="inlineStr">
        <is>
          <t>Mar - 27</t>
        </is>
      </c>
      <c r="AD76" t="inlineStr">
        <is>
          <t>Land (173.15 Acre): Pending (61.15) Acre
Pvt. (149.68 Acre): Pending (37.68) Acre. Registration of 112 acres of land
completed.
Govt. (23.47 Acre): Pending (23.47). Proposal has been marked to SDM.</t>
        </is>
      </c>
    </row>
    <row r="77">
      <c r="E77" t="inlineStr">
        <is>
          <t>a) 765/400 kV (2x1500 MVA) Kurawar S/s</t>
        </is>
      </c>
      <c r="P77" t="inlineStr">
        <is>
          <t>Oct-24</t>
        </is>
      </c>
      <c r="AB77" t="inlineStr">
        <is>
          <t>Oct-26</t>
        </is>
      </c>
      <c r="AC77" t="inlineStr">
        <is>
          <t>Mar - 27</t>
        </is>
      </c>
      <c r="AD77" t="inlineStr">
        <is>
          <t>Engg. Under Progress</t>
        </is>
      </c>
    </row>
    <row r="78">
      <c r="E78" t="inlineStr">
        <is>
          <t>b) 400/220 kV (2x500 MVA) Kurawar S/s</t>
        </is>
      </c>
      <c r="P78" t="inlineStr">
        <is>
          <t>Oct-24</t>
        </is>
      </c>
      <c r="AB78" t="inlineStr">
        <is>
          <t>Oct-26</t>
        </is>
      </c>
      <c r="AC78" t="inlineStr">
        <is>
          <t>Mar - 27</t>
        </is>
      </c>
      <c r="AD78" t="inlineStr">
        <is>
          <t>Engg. Under Progress</t>
        </is>
      </c>
    </row>
    <row r="79">
      <c r="E79" t="inlineStr">
        <is>
          <t>c) 220/132 kV (3x200 MVA) Kurawar S/s</t>
        </is>
      </c>
      <c r="P79" t="inlineStr">
        <is>
          <t>Oct-24</t>
        </is>
      </c>
      <c r="AB79" t="inlineStr">
        <is>
          <t>Oct-26</t>
        </is>
      </c>
      <c r="AC79" t="inlineStr">
        <is>
          <t>Mar - 27</t>
        </is>
      </c>
      <c r="AD79" t="inlineStr">
        <is>
          <t>Engg. Under Progress</t>
        </is>
      </c>
    </row>
    <row r="80">
      <c r="E80" t="inlineStr">
        <is>
          <t>Mandsaur – Kurawar 765 kV D/c line</t>
        </is>
      </c>
      <c r="P80" t="inlineStr">
        <is>
          <t>Oct-24</t>
        </is>
      </c>
      <c r="Q80" t="n">
        <v>402</v>
      </c>
      <c r="R80" t="n">
        <v>522</v>
      </c>
      <c r="S80" t="n">
        <v>412</v>
      </c>
      <c r="T80" t="n">
        <v>168</v>
      </c>
      <c r="V80" t="n">
        <v>0.79</v>
      </c>
      <c r="W80" t="n">
        <v>0.32</v>
      </c>
      <c r="X80" t="n">
        <v>0</v>
      </c>
      <c r="AB80" t="inlineStr">
        <is>
          <t>Oct-26</t>
        </is>
      </c>
      <c r="AC80" t="inlineStr">
        <is>
          <t>Mar - 27</t>
        </is>
      </c>
      <c r="AD80" t="inlineStr">
        <is>
          <t>work under progress.</t>
        </is>
      </c>
    </row>
    <row r="81">
      <c r="E81" t="inlineStr">
        <is>
          <t>Kurawar – Ashta 400 kV D/c line</t>
        </is>
      </c>
      <c r="P81" t="inlineStr">
        <is>
          <t>Oct-24</t>
        </is>
      </c>
      <c r="Q81" t="n">
        <v>112</v>
      </c>
      <c r="R81" t="n">
        <v>159</v>
      </c>
      <c r="S81" t="n">
        <v>9</v>
      </c>
      <c r="V81" t="n">
        <v>0.06</v>
      </c>
      <c r="W81" t="n">
        <v>0</v>
      </c>
      <c r="X81" t="n">
        <v>0</v>
      </c>
      <c r="AB81" t="inlineStr">
        <is>
          <t>Oct-26</t>
        </is>
      </c>
      <c r="AC81" t="inlineStr">
        <is>
          <t>Mar - 27</t>
        </is>
      </c>
      <c r="AD81" t="inlineStr">
        <is>
          <t>work under progress.</t>
        </is>
      </c>
    </row>
    <row r="82">
      <c r="E82" t="inlineStr">
        <is>
          <t>Shujalpur – Kurawar 400 kV D/c line</t>
        </is>
      </c>
      <c r="P82" t="inlineStr">
        <is>
          <t>Oct-24</t>
        </is>
      </c>
      <c r="Q82" t="n">
        <v>57</v>
      </c>
      <c r="R82" t="n">
        <v>77</v>
      </c>
      <c r="S82" t="n">
        <v>7</v>
      </c>
      <c r="V82" t="n">
        <v>0.09</v>
      </c>
      <c r="W82" t="n">
        <v>0</v>
      </c>
      <c r="X82" t="n">
        <v>0</v>
      </c>
      <c r="AB82" t="inlineStr">
        <is>
          <t>Oct-26</t>
        </is>
      </c>
      <c r="AC82" t="inlineStr">
        <is>
          <t>Mar - 27</t>
        </is>
      </c>
      <c r="AD82" t="inlineStr">
        <is>
          <t>Engg. &amp; survey Under Progress</t>
        </is>
      </c>
    </row>
    <row r="83">
      <c r="E83" t="inlineStr">
        <is>
          <t>LILO of one circuit of Indore – Itarsi 400 kV D/c line at Ashta S/s</t>
        </is>
      </c>
      <c r="P83" t="inlineStr">
        <is>
          <t>Oct-24</t>
        </is>
      </c>
      <c r="Q83" t="n">
        <v>112</v>
      </c>
      <c r="R83" t="n">
        <v>154</v>
      </c>
      <c r="V83" t="n">
        <v>0</v>
      </c>
      <c r="W83" t="n">
        <v>0</v>
      </c>
      <c r="X83" t="n">
        <v>0</v>
      </c>
      <c r="AB83" t="inlineStr">
        <is>
          <t>Oct-26</t>
        </is>
      </c>
      <c r="AC83" t="inlineStr">
        <is>
          <t>Mar - 27</t>
        </is>
      </c>
      <c r="AD83" t="inlineStr">
        <is>
          <t>Madhya Pradesh (31.97 Ha, 18 locs., 6.95 km )- Stage-I Awaited</t>
        </is>
      </c>
    </row>
    <row r="84">
      <c r="E84" t="inlineStr">
        <is>
          <t>LILO of one circuit of Indore – Bhopal 765 kV S/c line at Kurawar S/s</t>
        </is>
      </c>
      <c r="P84" t="inlineStr">
        <is>
          <t>Oct-24</t>
        </is>
      </c>
      <c r="Q84" t="n">
        <v>53</v>
      </c>
      <c r="R84" t="n">
        <v>69</v>
      </c>
      <c r="S84" t="n">
        <v>35</v>
      </c>
      <c r="V84" t="n">
        <v>0.51</v>
      </c>
      <c r="W84" t="n">
        <v>0</v>
      </c>
      <c r="X84" t="n">
        <v>0</v>
      </c>
      <c r="AB84" t="inlineStr">
        <is>
          <t>Oct-26</t>
        </is>
      </c>
      <c r="AC84" t="inlineStr">
        <is>
          <t>Mar - 27</t>
        </is>
      </c>
      <c r="AD84" t="inlineStr">
        <is>
          <t>work under progress.</t>
        </is>
      </c>
    </row>
    <row r="85">
      <c r="E85" t="inlineStr">
        <is>
          <t>Augmentation of transformation capacity at Jam Khambhaliya
PS(GIS) (SPV: POWERGRID Jam Khambaliya Transmisison Ltd.)</t>
        </is>
      </c>
      <c r="P85" t="inlineStr">
        <is>
          <t>Oct-24</t>
        </is>
      </c>
      <c r="AB85" t="inlineStr">
        <is>
          <t>Jul-26</t>
        </is>
      </c>
      <c r="AC85" t="inlineStr">
        <is>
          <t>Jul - 26</t>
        </is>
      </c>
    </row>
    <row r="86">
      <c r="E86" t="inlineStr">
        <is>
          <t>Augmentation of transformation capacity at Jam
Khambhaliya PS (GIS) by 2x500MVA, 400/220kV ICT (5th
and 6th) (terminated on New 220kV bus section-II)</t>
        </is>
      </c>
      <c r="P86" t="inlineStr">
        <is>
          <t>Oct-24</t>
        </is>
      </c>
      <c r="Y86" t="inlineStr">
        <is>
          <t>15.00%</t>
        </is>
      </c>
      <c r="Z86" t="inlineStr">
        <is>
          <t>1.00%</t>
        </is>
      </c>
      <c r="AB86" t="inlineStr">
        <is>
          <t>Jul-26</t>
        </is>
      </c>
      <c r="AC86" t="inlineStr">
        <is>
          <t>Jul - 26</t>
        </is>
      </c>
      <c r="AD86" t="inlineStr">
        <is>
          <t>Work under progress</t>
        </is>
      </c>
    </row>
    <row r="87">
      <c r="E87" t="inlineStr">
        <is>
          <t>Augmentation of transformation capacity at Jam
Khambhaliya PS (GIS) by 1x500MVA, 400/220kV ICT (7th)
(terminated on New 220kV bus section- II)</t>
        </is>
      </c>
      <c r="P87" t="inlineStr">
        <is>
          <t>Oct-24</t>
        </is>
      </c>
      <c r="Y87" t="inlineStr">
        <is>
          <t>15.00%</t>
        </is>
      </c>
      <c r="Z87" t="inlineStr">
        <is>
          <t>1.00%</t>
        </is>
      </c>
      <c r="AB87" t="inlineStr">
        <is>
          <t>Jul-26</t>
        </is>
      </c>
      <c r="AC87" t="inlineStr">
        <is>
          <t>Jul - 26</t>
        </is>
      </c>
      <c r="AD87" t="inlineStr">
        <is>
          <t>Work under progress</t>
        </is>
      </c>
    </row>
    <row r="88">
      <c r="E88" t="inlineStr">
        <is>
          <t>Augmentation of transformation capacity at Jam
Khambhaliya PS (GIS) by 1x500MVA, 400/220kV ICT (8th)
(terminated on New 220kV bus section- III)</t>
        </is>
      </c>
      <c r="P88" t="inlineStr">
        <is>
          <t>Oct-24</t>
        </is>
      </c>
      <c r="Y88" t="inlineStr">
        <is>
          <t>15.00%</t>
        </is>
      </c>
      <c r="Z88" t="inlineStr">
        <is>
          <t>1.00%</t>
        </is>
      </c>
      <c r="AB88" t="inlineStr">
        <is>
          <t>Jul-26</t>
        </is>
      </c>
      <c r="AC88" t="inlineStr">
        <is>
          <t>Jul - 26</t>
        </is>
      </c>
      <c r="AD88" t="inlineStr">
        <is>
          <t>Work under progress</t>
        </is>
      </c>
    </row>
    <row r="89">
      <c r="E89" t="inlineStr">
        <is>
          <t>Augmentation of transformation capacity at Jam Khambhaliya PS
(GIS) by 1x500MVA, 400/220kV (9th) ICT terminated on New 220kV
bus section-III</t>
        </is>
      </c>
      <c r="P89" t="inlineStr">
        <is>
          <t>Oct-24</t>
        </is>
      </c>
      <c r="Y89" t="inlineStr">
        <is>
          <t>15.00%</t>
        </is>
      </c>
      <c r="Z89" t="inlineStr">
        <is>
          <t>1.00%</t>
        </is>
      </c>
      <c r="AB89" t="inlineStr">
        <is>
          <t>Jul-26</t>
        </is>
      </c>
      <c r="AC89" t="inlineStr">
        <is>
          <t>Jul - 26</t>
        </is>
      </c>
      <c r="AD89" t="inlineStr">
        <is>
          <t>Work under progress</t>
        </is>
      </c>
    </row>
    <row r="90">
      <c r="E90" t="inlineStr">
        <is>
          <t>TRANSMISSION SYSTEM FOR EVACUATION OF POWER FROM
POTENTIAL RENEWABLE ENERGY ZONE IN KHAVDA AREA OF
GUJARAT UNDER PHASE-IV (7 GW): PART B (SPV: POWERGRID
South Olpad Transmission Ltd.)</t>
        </is>
      </c>
      <c r="P90" t="inlineStr">
        <is>
          <t>Oct-24</t>
        </is>
      </c>
      <c r="AB90" t="inlineStr">
        <is>
          <t>Oct-26</t>
        </is>
      </c>
      <c r="AC90" t="inlineStr">
        <is>
          <t>Mar - 27</t>
        </is>
      </c>
    </row>
    <row r="91">
      <c r="E91" t="inlineStr">
        <is>
          <t>Establishment of 2x1500 MVA, 765/400 kV &amp; 2x500 MVA, 400/220
kV GIS S/s at a suitable location in South Olpad (between Olpad and
Ichhapore)</t>
        </is>
      </c>
      <c r="P91" t="inlineStr">
        <is>
          <t>Oct-24</t>
        </is>
      </c>
      <c r="AB91" t="inlineStr">
        <is>
          <t>Oct-26</t>
        </is>
      </c>
      <c r="AC91" t="inlineStr">
        <is>
          <t>Mar - 27</t>
        </is>
      </c>
      <c r="AD91" t="inlineStr">
        <is>
          <t>Land (107 Acre): Pending (107) Acre
Pvt. (107 Acre): Pending (107 ) Acre.
Application for acquisition of land under LARR,2013 submitted on 27.11.2024.
Negotiation with land owners failed.
Joint Measurement of lands belonging to aggrieved land conducted on 14.11.25
under police protection.</t>
        </is>
      </c>
    </row>
    <row r="92">
      <c r="E92" t="inlineStr">
        <is>
          <t>Vadodara (GIS) –South Olpad (GIS) 765 kV D/C line</t>
        </is>
      </c>
      <c r="P92" t="inlineStr">
        <is>
          <t>Oct-24</t>
        </is>
      </c>
      <c r="Q92" t="n">
        <v>249</v>
      </c>
      <c r="R92" t="n">
        <v>343</v>
      </c>
      <c r="S92" t="n">
        <v>38</v>
      </c>
      <c r="V92" t="n">
        <v>0.11</v>
      </c>
      <c r="W92" t="n">
        <v>0</v>
      </c>
      <c r="X92" t="n">
        <v>0</v>
      </c>
      <c r="AB92" t="inlineStr">
        <is>
          <t>Oct-26</t>
        </is>
      </c>
      <c r="AC92" t="inlineStr">
        <is>
          <t>Mar - 27</t>
        </is>
      </c>
      <c r="AD92" t="inlineStr">
        <is>
          <t>Foundation RoW (242 locs.): Vadodara (95), Bharuch (147)
Forest, Gujarat (2.4897 ha, Nil Locs, 0.351 Km) : Stage-I Awaited</t>
        </is>
      </c>
    </row>
    <row r="93">
      <c r="E93" t="inlineStr">
        <is>
          <t>LILO of Gandhar – Hazira 400 kV D/c line at South Olpad (GIS)</t>
        </is>
      </c>
      <c r="P93" t="inlineStr">
        <is>
          <t>Oct-24</t>
        </is>
      </c>
      <c r="Q93" t="n">
        <v>8</v>
      </c>
      <c r="R93" t="n">
        <v>12</v>
      </c>
      <c r="S93" t="n">
        <v>0</v>
      </c>
      <c r="V93" t="n">
        <v>0</v>
      </c>
      <c r="W93" t="n">
        <v>0</v>
      </c>
      <c r="X93" t="n">
        <v>0</v>
      </c>
      <c r="AB93" t="inlineStr">
        <is>
          <t>Oct-26</t>
        </is>
      </c>
      <c r="AC93" t="inlineStr">
        <is>
          <t>Mar - 27</t>
        </is>
      </c>
      <c r="AD93" t="inlineStr">
        <is>
          <t>Engg &amp; Survey under Progress</t>
        </is>
      </c>
    </row>
    <row r="94">
      <c r="E94" t="inlineStr">
        <is>
          <t>Ahmedabad – South Olpad (GIS) 765 kV D/c line</t>
        </is>
      </c>
      <c r="P94" t="inlineStr">
        <is>
          <t>Oct-24</t>
        </is>
      </c>
      <c r="Q94" t="n">
        <v>455</v>
      </c>
      <c r="R94" t="n">
        <v>607</v>
      </c>
      <c r="S94" t="n">
        <v>144</v>
      </c>
      <c r="T94" t="n">
        <v>8</v>
      </c>
      <c r="V94" t="n">
        <v>0.24</v>
      </c>
      <c r="W94" t="n">
        <v>0.01</v>
      </c>
      <c r="X94" t="n">
        <v>0</v>
      </c>
      <c r="AB94" t="inlineStr">
        <is>
          <t>Oct-26</t>
        </is>
      </c>
      <c r="AC94" t="inlineStr">
        <is>
          <t>Mar - 27</t>
        </is>
      </c>
      <c r="AD94" t="inlineStr">
        <is>
          <t>Foundation RoW (75 locs.): Ahmedabad (15), Anand (8), Vadodara (7), Bharuch
(45) in Gujarat
Forest, Gujarat (28.5931 ha, Nil Locs, 4.268 Km) : Stage-I Awaited
Proposal submitted online on 14.04.25 . Proposal recommended in PSC I on
12.06.25. MoM issued on 07.07.25 and proposal fowarded to DFOs for filling of
Part-II.</t>
        </is>
      </c>
    </row>
    <row r="95">
      <c r="E95" t="inlineStr">
        <is>
          <t>Transmission System Strengthening for interconnections of
Bhadla-III and Bikaner-III complex (SPV: POWERGRID BHADLA
BIKANER TRANSMISSION LIMITED )</t>
        </is>
      </c>
      <c r="P95" t="inlineStr">
        <is>
          <t>Aug-24</t>
        </is>
      </c>
      <c r="AB95" t="inlineStr">
        <is>
          <t>Aug-26</t>
        </is>
      </c>
      <c r="AC95" t="inlineStr">
        <is>
          <t>Dec - 26</t>
        </is>
      </c>
    </row>
    <row r="96">
      <c r="E96" t="inlineStr">
        <is>
          <t>Bhadla-III - Bikaner-III 765 kV D/c line</t>
        </is>
      </c>
      <c r="P96" t="inlineStr">
        <is>
          <t>Aug-24</t>
        </is>
      </c>
      <c r="Q96" t="n">
        <v>254</v>
      </c>
      <c r="R96" t="n">
        <v>328</v>
      </c>
      <c r="S96" t="n">
        <v>106</v>
      </c>
      <c r="T96" t="n">
        <v>10</v>
      </c>
      <c r="V96" t="n">
        <v>0.32</v>
      </c>
      <c r="W96" t="n">
        <v>0.03</v>
      </c>
      <c r="X96" t="n">
        <v>0</v>
      </c>
      <c r="AB96" t="inlineStr">
        <is>
          <t>Aug-26</t>
        </is>
      </c>
      <c r="AC96" t="inlineStr">
        <is>
          <t>Dec - 26</t>
        </is>
      </c>
      <c r="AD96" t="inlineStr">
        <is>
          <t>Erection RoW Locs. (2): Bikaner District (2) in Rajasthan
Forest, Rajasthan (6.8714 ha) : Stage-I Awaited
Proposal submitted on 06.05.25. SG forwarded proposal to IRO on 20.11.25.</t>
        </is>
      </c>
    </row>
    <row r="97">
      <c r="E97" t="inlineStr">
        <is>
          <t>Transmission System for Evacuation of Power from Rajasthan REZ
Ph- IV (Part-2 : 5.5 GW) (Jaisalmer/ Barmer Complex): Part F (by
clubbing Part F1 &amp; F2)
(SPV Name: POWERGRID BARMER I TRANSMISSION LIMITED)</t>
        </is>
      </c>
      <c r="P97" t="inlineStr">
        <is>
          <t>Nov-24</t>
        </is>
      </c>
      <c r="AB97" t="inlineStr">
        <is>
          <t>Nov-26</t>
        </is>
      </c>
      <c r="AC97" t="inlineStr">
        <is>
          <t>Jun - 27</t>
        </is>
      </c>
    </row>
    <row r="98">
      <c r="E98" t="inlineStr">
        <is>
          <t>Establishment of 3x1500 MVA, 765/400 kV &amp; 2x500 MVA, 400/220
kV Barmer-I Pooling Station</t>
        </is>
      </c>
      <c r="P98" t="inlineStr">
        <is>
          <t>Nov-24</t>
        </is>
      </c>
      <c r="AB98" t="inlineStr">
        <is>
          <t>Nov-26</t>
        </is>
      </c>
      <c r="AC98" t="inlineStr">
        <is>
          <t>Jun - 27</t>
        </is>
      </c>
      <c r="AD98" t="inlineStr">
        <is>
          <t>Govt. (143.5 Acre): Pending (143.5 Acre).
Demand note is under process, expected by 05.12.25</t>
        </is>
      </c>
    </row>
    <row r="99">
      <c r="E99" t="inlineStr">
        <is>
          <t>Fatehgarh-III (Section-2) PS – Barmer-I PS 400 kV D/c line (Quad)</t>
        </is>
      </c>
      <c r="P99" t="inlineStr">
        <is>
          <t>Nov-24</t>
        </is>
      </c>
      <c r="Q99" t="n">
        <v>102</v>
      </c>
      <c r="R99" t="n">
        <v>103</v>
      </c>
      <c r="S99" t="n">
        <v>30</v>
      </c>
      <c r="V99" t="n">
        <v>0.29</v>
      </c>
      <c r="W99" t="n">
        <v>0</v>
      </c>
      <c r="X99" t="n">
        <v>0</v>
      </c>
      <c r="AB99" t="inlineStr">
        <is>
          <t>Nov-26</t>
        </is>
      </c>
      <c r="AC99" t="inlineStr">
        <is>
          <t>Jun - 27</t>
        </is>
      </c>
      <c r="AD99" t="inlineStr">
        <is>
          <t>Foundation RoW (13 loc.): Barmer (13) in Rajasthan.</t>
        </is>
      </c>
    </row>
    <row r="100">
      <c r="E100" t="inlineStr">
        <is>
          <t>Barmer-I PS– Sirohi PS 765 kV D/c line</t>
        </is>
      </c>
      <c r="P100" t="inlineStr">
        <is>
          <t>Nov-24</t>
        </is>
      </c>
      <c r="Q100" t="n">
        <v>419</v>
      </c>
      <c r="R100" t="n">
        <v>543</v>
      </c>
      <c r="S100" t="n">
        <v>329</v>
      </c>
      <c r="T100" t="n">
        <v>22</v>
      </c>
      <c r="V100" t="n">
        <v>0.61</v>
      </c>
      <c r="W100" t="n">
        <v>0.04</v>
      </c>
      <c r="X100" t="n">
        <v>0</v>
      </c>
      <c r="AB100" t="inlineStr">
        <is>
          <t>Nov-26</t>
        </is>
      </c>
      <c r="AC100" t="inlineStr">
        <is>
          <t>Jun - 27</t>
        </is>
      </c>
      <c r="AD100" t="inlineStr">
        <is>
          <t>Forest, Rajasthan (0.2412 ha) : Stage-II Awaited
Proposaal submitted on 01.05.2025.
Stage-I issued on 03.09.25. Compliance forwarded by NO to SG on 27.11.25..</t>
        </is>
      </c>
    </row>
    <row r="101">
      <c r="E101" t="inlineStr">
        <is>
          <t>Transmission System for Evacuation of Power from Rajasthan REZ
PH-IV (PART-3: 6GW) [BIKANER COMPLEX]:PART-A
(SPV Name: POWERGRID Bikaner IV Transmission Limited)</t>
        </is>
      </c>
      <c r="P101" t="inlineStr">
        <is>
          <t>Nov-24</t>
        </is>
      </c>
      <c r="AB101" t="inlineStr">
        <is>
          <t>Nov-26</t>
        </is>
      </c>
      <c r="AC101" t="inlineStr">
        <is>
          <t>Mar - 27</t>
        </is>
      </c>
    </row>
    <row r="102">
      <c r="E102" t="inlineStr">
        <is>
          <t>Establishment of 6x1500 MVA, 765/400 kV &amp; 6x500 MVA, 400/220
kV Bikaner-IV Pooling Station.</t>
        </is>
      </c>
      <c r="P102" t="inlineStr">
        <is>
          <t>Nov-24</t>
        </is>
      </c>
      <c r="AB102" t="inlineStr">
        <is>
          <t>Nov-26</t>
        </is>
      </c>
      <c r="AC102" t="inlineStr">
        <is>
          <t>Mar - 27</t>
        </is>
      </c>
      <c r="AD102" t="inlineStr">
        <is>
          <t>Land (235.86 Acre): Land Acquisition process completed on 16.09.25.</t>
        </is>
      </c>
    </row>
    <row r="103">
      <c r="E103" t="inlineStr">
        <is>
          <t>LILO of both ckts of Bikaner II PS - Bikaner III PS (Quad) at Bikaner-IV
PS</t>
        </is>
      </c>
      <c r="P103" t="inlineStr">
        <is>
          <t>Nov-24</t>
        </is>
      </c>
      <c r="Q103" t="n">
        <v>65</v>
      </c>
      <c r="R103" t="n">
        <v>68</v>
      </c>
      <c r="S103" t="n">
        <v>0</v>
      </c>
      <c r="V103" t="n">
        <v>0</v>
      </c>
      <c r="W103" t="n">
        <v>0</v>
      </c>
      <c r="X103" t="n">
        <v>0</v>
      </c>
      <c r="AB103" t="inlineStr">
        <is>
          <t>Nov-26</t>
        </is>
      </c>
      <c r="AC103" t="inlineStr">
        <is>
          <t>Mar - 27</t>
        </is>
      </c>
      <c r="AD103" t="inlineStr">
        <is>
          <t>Engg under progress</t>
        </is>
      </c>
    </row>
    <row r="104">
      <c r="E104" t="inlineStr">
        <is>
          <t>Bikaner-IV PS – Siwani 765 kV D/c line</t>
        </is>
      </c>
      <c r="P104" t="inlineStr">
        <is>
          <t>Nov-24</t>
        </is>
      </c>
      <c r="Q104" t="n">
        <v>481</v>
      </c>
      <c r="R104" t="n">
        <v>622</v>
      </c>
      <c r="S104" t="n">
        <v>298</v>
      </c>
      <c r="T104" t="n">
        <v>29</v>
      </c>
      <c r="V104" t="n">
        <v>0.48</v>
      </c>
      <c r="W104" t="n">
        <v>0.05</v>
      </c>
      <c r="X104" t="n">
        <v>0</v>
      </c>
      <c r="AB104" t="inlineStr">
        <is>
          <t>Nov-26</t>
        </is>
      </c>
      <c r="AC104" t="inlineStr">
        <is>
          <t>Mar - 27</t>
        </is>
      </c>
      <c r="AD104" t="inlineStr">
        <is>
          <t>Forest, Rajasthan (1.2609 ha): Stage-II Awaited
Forest, Haryana (0.7817 ha): Stage-I Awaited</t>
        </is>
      </c>
    </row>
    <row r="105">
      <c r="E105" t="inlineStr">
        <is>
          <t>Siwani– Fatehabad (PG) 400 kV D/c line (Quad)</t>
        </is>
      </c>
      <c r="P105" t="inlineStr">
        <is>
          <t>Nov-24</t>
        </is>
      </c>
      <c r="Q105" t="n">
        <v>165</v>
      </c>
      <c r="R105" t="n">
        <v>220</v>
      </c>
      <c r="S105" t="n">
        <v>23</v>
      </c>
      <c r="T105" t="n">
        <v>7</v>
      </c>
      <c r="V105" t="n">
        <v>0.1</v>
      </c>
      <c r="W105" t="n">
        <v>0.03</v>
      </c>
      <c r="X105" t="n">
        <v>0</v>
      </c>
      <c r="AB105" t="inlineStr">
        <is>
          <t>Nov-26</t>
        </is>
      </c>
      <c r="AC105" t="inlineStr">
        <is>
          <t>Mar - 27</t>
        </is>
      </c>
      <c r="AD105" t="inlineStr">
        <is>
          <t>Forest, Haryana (3.448 ha, Nil locs, 0.0205 km): Stage-I Awaited. Proposal
submitted on 16.02.25. PSC I raised queries. CA Land alotted by MP and detailed
CA scheme forwarded to Region on 23.04.25. Revised proposal with reduced
forest area submitted on 17.11.25.</t>
        </is>
      </c>
    </row>
    <row r="106">
      <c r="E106" t="inlineStr">
        <is>
          <t>Siwani – Patran (Indi Grid) 400 kV D/c line (Quad)</t>
        </is>
      </c>
      <c r="P106" t="inlineStr">
        <is>
          <t>Nov-24</t>
        </is>
      </c>
      <c r="Q106" t="n">
        <v>281</v>
      </c>
      <c r="R106" t="n">
        <v>377</v>
      </c>
      <c r="S106" t="n">
        <v>39</v>
      </c>
      <c r="T106" t="n">
        <v>6</v>
      </c>
      <c r="V106" t="n">
        <v>0.1</v>
      </c>
      <c r="W106" t="n">
        <v>0.02</v>
      </c>
      <c r="X106" t="n">
        <v>0</v>
      </c>
      <c r="AB106" t="inlineStr">
        <is>
          <t>Nov-26</t>
        </is>
      </c>
      <c r="AC106" t="inlineStr">
        <is>
          <t>Mar - 27</t>
        </is>
      </c>
      <c r="AD106" t="inlineStr">
        <is>
          <t>i) Forest, Haryana (13.12 ha, Nil locs., 0.0323 Km) :Proposal submitted on
16.02.25. PSC I raised queries. CA Land alotted by MP and detailed CA scheme
forwarded to Region on 23.04.25.
ii)Forest, Punjab (2.43ha, Nil locs., 0.00597Km) : Proposal submitted on 15.02.25.
Under process with DFOs for Part II.</t>
        </is>
      </c>
    </row>
    <row r="107">
      <c r="E107" t="inlineStr">
        <is>
          <t>STATCOM (2x+300MVAr) along with MSC (4x125 MVAr) &amp; MSR
(2x125 MVAr) at Bikaner-IV PS</t>
        </is>
      </c>
      <c r="P107" t="inlineStr">
        <is>
          <t>Nov-24</t>
        </is>
      </c>
      <c r="AB107" t="inlineStr">
        <is>
          <t>Nov-26</t>
        </is>
      </c>
      <c r="AC107" t="inlineStr">
        <is>
          <t>Mar - 27</t>
        </is>
      </c>
      <c r="AD107" t="inlineStr">
        <is>
          <t>Engg under progress</t>
        </is>
      </c>
    </row>
    <row r="108">
      <c r="E108" t="inlineStr">
        <is>
          <t>Transmission System for Evacuation of Power from potential
renewable energy zone in Khavda area of Gujarat under Phase-V
(8GW): Part A
(SPV Name: POWERGRID West Central Transmission Limited)</t>
        </is>
      </c>
      <c r="P108" t="inlineStr">
        <is>
          <t>Nov-24</t>
        </is>
      </c>
      <c r="AB108" t="inlineStr">
        <is>
          <t>May-29</t>
        </is>
      </c>
      <c r="AC108" t="inlineStr">
        <is>
          <t>May - 29</t>
        </is>
      </c>
    </row>
    <row r="109">
      <c r="E109" t="inlineStr">
        <is>
          <t>Establishment of 6000 MW (4x1500 MW), ± 800 kV (HVDC) [LCC] at
KPS2 and Nagpur terminal station (Bipole-1: 3000 MW)</t>
        </is>
      </c>
      <c r="P109" t="inlineStr">
        <is>
          <t>Nov-24</t>
        </is>
      </c>
      <c r="Y109" t="inlineStr">
        <is>
          <t>5.00%</t>
        </is>
      </c>
      <c r="Z109" t="inlineStr">
        <is>
          <t>1.00%</t>
        </is>
      </c>
      <c r="AB109" t="inlineStr">
        <is>
          <t>Nov-28</t>
        </is>
      </c>
      <c r="AC109" t="inlineStr">
        <is>
          <t>Nov - 28</t>
        </is>
      </c>
      <c r="AD109" t="inlineStr">
        <is>
          <t>Land (405 Acre, All Pvt.): Pending (284) Acre</t>
        </is>
      </c>
    </row>
    <row r="110">
      <c r="E110" t="inlineStr">
        <is>
          <t>Establishment of 6000 MW (4x1500 MW), ± 800 kV (HVDC) [LCC] at
KPS2 and Nagpur terminal station (Bipole-2: 3000 MW)</t>
        </is>
      </c>
      <c r="P110" t="inlineStr">
        <is>
          <t>Nov-24</t>
        </is>
      </c>
      <c r="AB110" t="inlineStr">
        <is>
          <t>May-29</t>
        </is>
      </c>
      <c r="AC110" t="inlineStr">
        <is>
          <t>May - 29</t>
        </is>
      </c>
      <c r="AD110" t="inlineStr">
        <is>
          <t>Engg. Under Progress</t>
        </is>
      </c>
    </row>
    <row r="111">
      <c r="E111" t="inlineStr">
        <is>
          <t>Establishment of 6x1500 MVA, 765/400 kV ICTs at Nagpur
S/s along with associated interconnections with HVDC Switchyard</t>
        </is>
      </c>
      <c r="P111" t="inlineStr">
        <is>
          <t>Nov-24</t>
        </is>
      </c>
      <c r="AB111" t="inlineStr">
        <is>
          <t>Nov-28</t>
        </is>
      </c>
      <c r="AC111" t="inlineStr">
        <is>
          <t>Nov - 28</t>
        </is>
      </c>
      <c r="AD111" t="inlineStr">
        <is>
          <t>Engg. Under Progress</t>
        </is>
      </c>
    </row>
    <row r="112">
      <c r="E112" t="inlineStr">
        <is>
          <t>±800 kV HVDC Bipole line (Hexa lapwing) between KPS2
(HVDC) and Nagpur (HVDC)</t>
        </is>
      </c>
      <c r="P112" t="inlineStr">
        <is>
          <t>Nov-24</t>
        </is>
      </c>
      <c r="Q112" t="inlineStr">
        <is>
          <t>2,409</t>
        </is>
      </c>
      <c r="R112" t="inlineStr">
        <is>
          <t>3,152</t>
        </is>
      </c>
      <c r="S112" t="n">
        <v>64</v>
      </c>
      <c r="AB112" t="inlineStr">
        <is>
          <t>Nov-28</t>
        </is>
      </c>
      <c r="AC112" t="inlineStr">
        <is>
          <t>Nov - 28</t>
        </is>
      </c>
      <c r="AD112" t="inlineStr">
        <is>
          <t>i)Forest, Gujarat (373.89 ha, 54.188 Km) : Proposal submitted on 03.06.25.
Proposal recommended in PSC I on 12.06.25 &amp; fowarded to DFOs for filling of Part-
II.
ii) WL- Wild Ass Sanctuary (26.4907 ha): Proposal submitted online on
03.06.25.Query raised by wildlife warden replied on 02.11.25. Site inspection to
be done by wildlife warden.
iii)Forest, Madhya Pradesh (156.936 ha) :Proposal submitted online on 28.08.25.
Proposal discussed in PSC-I meeting on 08.09.25 and further forwarded to DFO for
filling of Part-II on 09.09.25.
iv)Forest, Maharashtra (57.71 ha) :Proposal submitted online on 21.10.25 &amp;
discussed in PSC-I meeting on 27.10.25. Proposal not accepted in PSC and it has
been asked to confirm forest area from Amravati division.</t>
        </is>
      </c>
    </row>
    <row r="113">
      <c r="E113" t="inlineStr">
        <is>
          <t>LILO of Wardha – Raipur 765 kV one D/c line (out of 2xD/c
lines) at Nagpur</t>
        </is>
      </c>
      <c r="P113" t="inlineStr">
        <is>
          <t>Nov-24</t>
        </is>
      </c>
      <c r="Q113" t="n">
        <v>68</v>
      </c>
      <c r="R113" t="n">
        <v>86</v>
      </c>
      <c r="S113" t="n">
        <v>5</v>
      </c>
      <c r="V113" t="n">
        <v>0.06</v>
      </c>
      <c r="W113" t="n">
        <v>0</v>
      </c>
      <c r="X113" t="n">
        <v>0</v>
      </c>
      <c r="AB113" t="inlineStr">
        <is>
          <t>Nov-28</t>
        </is>
      </c>
      <c r="AC113" t="inlineStr">
        <is>
          <t>Nov - 28</t>
        </is>
      </c>
      <c r="AD113" t="inlineStr">
        <is>
          <t>Engg. Under Progress</t>
        </is>
      </c>
    </row>
    <row r="114">
      <c r="E114" t="inlineStr">
        <is>
          <t>Dynamic Reactive Compensation at KPS1 and KPS3
(SPV name: POWERGRID KHAVDA PS1 AND 3 TRANSMISSION
LIMITED)</t>
        </is>
      </c>
      <c r="P114" t="inlineStr">
        <is>
          <t>Nov-24</t>
        </is>
      </c>
      <c r="AB114" t="inlineStr">
        <is>
          <t>Nov-26</t>
        </is>
      </c>
      <c r="AC114" t="inlineStr">
        <is>
          <t>Nov - 26</t>
        </is>
      </c>
    </row>
    <row r="115">
      <c r="E115" t="inlineStr">
        <is>
          <t>± 300 MVAr STATCOM with 1x125 MVAr MSC, 2x125 MVAr MSR at
KPS1 400 kV Bus section-1 (GIS)</t>
        </is>
      </c>
      <c r="P115" t="inlineStr">
        <is>
          <t>Nov-24</t>
        </is>
      </c>
      <c r="AB115" t="inlineStr">
        <is>
          <t>Nov-26</t>
        </is>
      </c>
      <c r="AC115" t="inlineStr">
        <is>
          <t>Nov - 26</t>
        </is>
      </c>
      <c r="AD115" t="inlineStr">
        <is>
          <t>Land : Govt. Land (7.41 Acres): Pending (7.41 Acres): Proposal is has been marked
to Secretariat , Gandhinagar by DM. Sectratariat has sent file to DM kutch for
valuation of land.</t>
        </is>
      </c>
    </row>
    <row r="116">
      <c r="E116" t="inlineStr">
        <is>
          <t>± 300 MVAr STATCOM with 1x125 MVAr MSC, 2x125 MVAr MSR at
KPS1 400 kV Bus section-2 (GIS)</t>
        </is>
      </c>
      <c r="P116" t="inlineStr">
        <is>
          <t>Nov-24</t>
        </is>
      </c>
      <c r="AB116" t="inlineStr">
        <is>
          <t>Nov-26</t>
        </is>
      </c>
      <c r="AC116" t="inlineStr">
        <is>
          <t>Nov - 26</t>
        </is>
      </c>
      <c r="AD116" t="inlineStr">
        <is>
          <t>Land : Govt. Land (7.41 Acres): Pending (7.41 Acres): Proposal is has been marked
to Secretariat , Gandhinagar by DM. Sectratariat has sent file to DM kutch for
valuation of land.</t>
        </is>
      </c>
    </row>
    <row r="117">
      <c r="E117" t="inlineStr">
        <is>
          <t>± 300 MVAr STATCOM with 1x125 MVAr MSC, 2x125 MVAr MSR at
KPS3 400 kV Bus section-1 (GIS)</t>
        </is>
      </c>
      <c r="P117" t="inlineStr">
        <is>
          <t>Nov-24</t>
        </is>
      </c>
      <c r="Y117" t="inlineStr">
        <is>
          <t>10.00%</t>
        </is>
      </c>
      <c r="Z117" t="inlineStr">
        <is>
          <t>1.00%</t>
        </is>
      </c>
      <c r="AB117" t="inlineStr">
        <is>
          <t>Nov-26</t>
        </is>
      </c>
      <c r="AC117" t="inlineStr">
        <is>
          <t>Nov - 26</t>
        </is>
      </c>
      <c r="AD117" t="inlineStr">
        <is>
          <t>Work under progress</t>
        </is>
      </c>
    </row>
    <row r="118">
      <c r="E118" t="inlineStr">
        <is>
          <t>Transmission system for evacuation of power from Rajasthan REZ
Ph-IV (Part-3: 6GW) [Bikaner complex]: Part-B
(SPV Name: POWERGRID Siwani Transmission Limited)</t>
        </is>
      </c>
      <c r="P118" t="inlineStr">
        <is>
          <t>Nov-24</t>
        </is>
      </c>
      <c r="AB118" t="inlineStr">
        <is>
          <t>Nov-26</t>
        </is>
      </c>
      <c r="AC118" t="inlineStr">
        <is>
          <t>Mar - 27</t>
        </is>
      </c>
    </row>
    <row r="119">
      <c r="E119" t="inlineStr">
        <is>
          <t>Establishment of 765/400 kV, 6x1500 MVA S/s at suitable location
near Siwani (Distt. Bhiwani)</t>
        </is>
      </c>
      <c r="P119" t="inlineStr">
        <is>
          <t>Nov-24</t>
        </is>
      </c>
      <c r="Y119" t="inlineStr">
        <is>
          <t>3.00%</t>
        </is>
      </c>
      <c r="Z119" t="inlineStr">
        <is>
          <t>1.00%</t>
        </is>
      </c>
      <c r="AB119" t="inlineStr">
        <is>
          <t>Nov-26</t>
        </is>
      </c>
      <c r="AC119" t="inlineStr">
        <is>
          <t>Mar - 27</t>
        </is>
      </c>
      <c r="AD119" t="inlineStr">
        <is>
          <t>Land (139 Acre): Pending (Nil) Acre</t>
        </is>
      </c>
    </row>
    <row r="120">
      <c r="E120" t="inlineStr">
        <is>
          <t>Bikaner-IV PS – Siwani 765 kV D/C (2nd) line</t>
        </is>
      </c>
      <c r="P120" t="inlineStr">
        <is>
          <t>Nov-24</t>
        </is>
      </c>
      <c r="Q120" t="n">
        <v>480</v>
      </c>
      <c r="R120" t="n">
        <v>625</v>
      </c>
      <c r="S120" t="n">
        <v>400</v>
      </c>
      <c r="T120" t="n">
        <v>84</v>
      </c>
      <c r="V120" t="n">
        <v>0.64</v>
      </c>
      <c r="W120" t="n">
        <v>0.13</v>
      </c>
      <c r="X120" t="n">
        <v>0</v>
      </c>
      <c r="AB120" t="inlineStr">
        <is>
          <t>Nov-26</t>
        </is>
      </c>
      <c r="AC120" t="inlineStr">
        <is>
          <t>Mar - 27</t>
        </is>
      </c>
      <c r="AD120" t="inlineStr">
        <is>
          <t>Forest, Rajasthan (1.2462 ha): Stage-II Awaited. Proposal submitted on 18.05.25.
Stage-I issued on 01.10.25. Demand for compensatory levies approved by NO on
07.10.25.Payment deposited on 13.11.25.
Forest, Haryana (0.5504 ha): Stage-I Awaited. Proposal submitted on 18.06.25.
Proposal with revised forest area submitted on 22.11.25.</t>
        </is>
      </c>
    </row>
    <row r="121">
      <c r="E121" t="inlineStr">
        <is>
          <t>Siwani – Sonipat (PG) 400 kV D/C line (Quad)</t>
        </is>
      </c>
      <c r="P121" t="inlineStr">
        <is>
          <t>Nov-24</t>
        </is>
      </c>
      <c r="Q121" t="n">
        <v>273</v>
      </c>
      <c r="R121" t="n">
        <v>378</v>
      </c>
      <c r="S121" t="n">
        <v>1</v>
      </c>
      <c r="V121" t="n">
        <v>0</v>
      </c>
      <c r="W121" t="n">
        <v>0</v>
      </c>
      <c r="X121" t="n">
        <v>0</v>
      </c>
      <c r="AB121" t="inlineStr">
        <is>
          <t>Nov-26</t>
        </is>
      </c>
      <c r="AC121" t="inlineStr">
        <is>
          <t>Mar - 27</t>
        </is>
      </c>
      <c r="AD121" t="inlineStr">
        <is>
          <t>Forest, Haryana (9.5307 ha): Stage-I Awaited. Route alignment approved on
08.04.25. Proposal submitted on 20.06.25. Proposal discussed in PSC I meeting on
16.07.25. Proposal returned to UA on 22.07.25. Main query is pertaining to CA
land in other States. Request letter given to ACS (Forest), MP for allotment of DFL
land on 23.07.25. Reply submitted to MS(PSC-I) on 07.11.25.</t>
        </is>
      </c>
    </row>
    <row r="122">
      <c r="E122" t="inlineStr">
        <is>
          <t>Siwani – Jind (PG) 400 kV D/C line (Quad) (93.69 km).</t>
        </is>
      </c>
      <c r="P122" t="inlineStr">
        <is>
          <t>Nov-24</t>
        </is>
      </c>
      <c r="Q122" t="n">
        <v>187</v>
      </c>
      <c r="R122" t="n">
        <v>258</v>
      </c>
      <c r="V122" t="n">
        <v>0</v>
      </c>
      <c r="W122" t="n">
        <v>0</v>
      </c>
      <c r="X122" t="n">
        <v>0</v>
      </c>
      <c r="AB122" t="inlineStr">
        <is>
          <t>Nov-26</t>
        </is>
      </c>
      <c r="AC122" t="inlineStr">
        <is>
          <t>Mar - 27</t>
        </is>
      </c>
      <c r="AD122" t="inlineStr">
        <is>
          <t>Forest, Haryana (4.2216 ha): Stage-I Awaited. Proposal submitted online on
28.10.2025. DFO raised query regarding DFL land on 29.10.25.Query replied back
on 12.11.25</t>
        </is>
      </c>
    </row>
    <row r="123">
      <c r="E123" t="inlineStr">
        <is>
          <t>STATCOM (2x+300MVAr) along with MSC (4x125 MVAr) and MSR
(2x125 MVAr) at Siwani S/s.</t>
        </is>
      </c>
      <c r="P123" t="inlineStr">
        <is>
          <t>Nov-24</t>
        </is>
      </c>
      <c r="AB123" t="inlineStr">
        <is>
          <t>Nov-26</t>
        </is>
      </c>
      <c r="AC123" t="inlineStr">
        <is>
          <t>Mar - 27</t>
        </is>
      </c>
      <c r="AD123" t="inlineStr">
        <is>
          <t>Engg under progress</t>
        </is>
      </c>
    </row>
    <row r="124">
      <c r="E124" t="inlineStr">
        <is>
          <t>Additional Transmission System for evacuation of Power from
Bhadla-III PS as part of Rajasthan REZ Phase III Scheme (20 GW)
(SPV Name: POWERGRID Bhadla-III Power Transmission Limited)</t>
        </is>
      </c>
      <c r="P124" t="inlineStr">
        <is>
          <t>Aug-24</t>
        </is>
      </c>
      <c r="AB124" t="inlineStr">
        <is>
          <t>Feb-26</t>
        </is>
      </c>
      <c r="AC124" t="inlineStr">
        <is>
          <t>Mar - 26</t>
        </is>
      </c>
    </row>
    <row r="125">
      <c r="E125" t="inlineStr">
        <is>
          <t>Augmentation of 2x500 MVA (4th &amp; 5th)., 400/220 KV ICTs at Bhadla-
III PS</t>
        </is>
      </c>
      <c r="P125" t="inlineStr">
        <is>
          <t>Aug-24</t>
        </is>
      </c>
      <c r="Y125" t="inlineStr">
        <is>
          <t>50.00%</t>
        </is>
      </c>
      <c r="Z125" t="inlineStr">
        <is>
          <t>25.00%</t>
        </is>
      </c>
      <c r="AA125" t="inlineStr">
        <is>
          <t>10.00%</t>
        </is>
      </c>
      <c r="AB125" t="inlineStr">
        <is>
          <t>Feb-26</t>
        </is>
      </c>
      <c r="AC125" t="inlineStr">
        <is>
          <t>Mar - 26</t>
        </is>
      </c>
      <c r="AD125" t="inlineStr">
        <is>
          <t>work under progress</t>
        </is>
      </c>
    </row>
    <row r="126">
      <c r="E126" t="inlineStr">
        <is>
          <t>Augmentation of 1x1500 MVA 765/400 KV (3rd) ICT at Bhadla-III PS</t>
        </is>
      </c>
      <c r="P126" t="inlineStr">
        <is>
          <t>Aug-24</t>
        </is>
      </c>
      <c r="Y126" t="inlineStr">
        <is>
          <t>50.00%</t>
        </is>
      </c>
      <c r="Z126" t="inlineStr">
        <is>
          <t>25.00%</t>
        </is>
      </c>
      <c r="AA126" t="inlineStr">
        <is>
          <t>10.00%</t>
        </is>
      </c>
      <c r="AB126" t="inlineStr">
        <is>
          <t>Feb-26</t>
        </is>
      </c>
      <c r="AC126" t="inlineStr">
        <is>
          <t>Mar - 26</t>
        </is>
      </c>
      <c r="AD126" t="inlineStr">
        <is>
          <t>work under progress</t>
        </is>
      </c>
    </row>
    <row r="127">
      <c r="E127" t="inlineStr">
        <is>
          <t>Augmentation of 1x1500 MVA 765/400KV (4th) ICT at Bhadla-III PS</t>
        </is>
      </c>
      <c r="P127" t="inlineStr">
        <is>
          <t>Aug-24</t>
        </is>
      </c>
      <c r="Y127" t="inlineStr">
        <is>
          <t>40.00%</t>
        </is>
      </c>
      <c r="Z127" t="inlineStr">
        <is>
          <t>20.00%</t>
        </is>
      </c>
      <c r="AA127" t="inlineStr">
        <is>
          <t>10.00%</t>
        </is>
      </c>
      <c r="AB127" t="inlineStr">
        <is>
          <t>Dec-25</t>
        </is>
      </c>
      <c r="AC127" t="inlineStr">
        <is>
          <t>Mar - 26</t>
        </is>
      </c>
      <c r="AD127" t="inlineStr">
        <is>
          <t>work under progress</t>
        </is>
      </c>
    </row>
    <row r="128">
      <c r="E128" t="inlineStr">
        <is>
          <t>Transmission system for evacuation of power from Rajasthan REZ
Ph-IV (Part-4: 3.5 GW): Part A
(SPV Name: POWERGRID Ghiror Transmission Limited)</t>
        </is>
      </c>
      <c r="P128" t="inlineStr">
        <is>
          <t>Dec-24</t>
        </is>
      </c>
      <c r="AB128" t="inlineStr">
        <is>
          <t>Dec-26</t>
        </is>
      </c>
      <c r="AC128" t="inlineStr">
        <is>
          <t>Mar - 27</t>
        </is>
      </c>
    </row>
    <row r="129">
      <c r="E129" t="inlineStr">
        <is>
          <t>Establishment of 765/400kV, 2x1500 MVA S/s at Ghiror (Distt.
Mainpuri) (UP)</t>
        </is>
      </c>
      <c r="P129" t="inlineStr">
        <is>
          <t>Dec-24</t>
        </is>
      </c>
      <c r="Y129" t="inlineStr">
        <is>
          <t>1.00%</t>
        </is>
      </c>
      <c r="Z129" t="inlineStr">
        <is>
          <t>2.00%</t>
        </is>
      </c>
      <c r="AB129" t="inlineStr">
        <is>
          <t>Dec-26</t>
        </is>
      </c>
      <c r="AC129" t="inlineStr">
        <is>
          <t>Mar - 27</t>
        </is>
      </c>
      <c r="AD129" t="inlineStr">
        <is>
          <t>Pvt. (146.50 Acre): Pending (16.7) Acre. Proposal submitted to DM on 25.11.2024
, for purchase of land on tripartite mode. Registry of 129.8 acres land completed
&amp; remaining is under process.</t>
        </is>
      </c>
    </row>
    <row r="130">
      <c r="E130" t="inlineStr">
        <is>
          <t>Augmentation by 765/400 kV, 2x1500 MVA Transformer (4th&amp; 5th)
at Barmer-I PS.</t>
        </is>
      </c>
      <c r="P130" t="inlineStr">
        <is>
          <t>Dec-24</t>
        </is>
      </c>
      <c r="AB130" t="inlineStr">
        <is>
          <t>Dec-26</t>
        </is>
      </c>
      <c r="AC130" t="inlineStr">
        <is>
          <t>Mar - 27</t>
        </is>
      </c>
      <c r="AD130" t="inlineStr">
        <is>
          <t>Engg Under Progress</t>
        </is>
      </c>
    </row>
    <row r="131">
      <c r="E131" t="inlineStr">
        <is>
          <t>Augmentation by 5x500 MVA (5th to 9th), 400/220 kV ICTs at
Barmer-I PS.</t>
        </is>
      </c>
      <c r="P131" t="inlineStr">
        <is>
          <t>Dec-24</t>
        </is>
      </c>
      <c r="AB131" t="inlineStr">
        <is>
          <t>Dec-26</t>
        </is>
      </c>
      <c r="AC131" t="inlineStr">
        <is>
          <t>Mar - 27</t>
        </is>
      </c>
      <c r="AD131" t="inlineStr">
        <is>
          <t>Engg Under Progress</t>
        </is>
      </c>
    </row>
    <row r="132">
      <c r="E132" t="inlineStr">
        <is>
          <t>Fatehgarh-IV PS (Sec-2) – Barmer-I PS 400kV D/c line.</t>
        </is>
      </c>
      <c r="P132" t="inlineStr">
        <is>
          <t>Dec-24</t>
        </is>
      </c>
      <c r="Q132" t="n">
        <v>74</v>
      </c>
      <c r="R132" t="n">
        <v>108</v>
      </c>
      <c r="S132" t="n">
        <v>2</v>
      </c>
      <c r="V132" t="n">
        <v>0.02</v>
      </c>
      <c r="W132" t="n">
        <v>0</v>
      </c>
      <c r="X132" t="n">
        <v>0</v>
      </c>
      <c r="AB132" t="inlineStr">
        <is>
          <t>Dec-26</t>
        </is>
      </c>
      <c r="AC132" t="inlineStr">
        <is>
          <t>Mar - 27</t>
        </is>
      </c>
      <c r="AD132" t="inlineStr">
        <is>
          <t>Foundation RoW (13 loc.): Barmer (13) in Rajasthan.
Forest, Rajasthan (0.1656 ha, ): Stage-II Awaited. Proposal submitted on 06.05.25.
Stage-I issued on 14.09.25. Stage-I compliance forwarded to NO on 26.11.25. NO
forwarded to SG on 27.11.25.</t>
        </is>
      </c>
    </row>
    <row r="133">
      <c r="E133" t="inlineStr">
        <is>
          <t>Dausa - Ghiror 765 kV D/c line</t>
        </is>
      </c>
      <c r="P133" t="inlineStr">
        <is>
          <t>Dec-24</t>
        </is>
      </c>
      <c r="Q133" t="n">
        <v>545</v>
      </c>
      <c r="R133" t="n">
        <v>714</v>
      </c>
      <c r="S133" t="n">
        <v>234</v>
      </c>
      <c r="T133" t="n">
        <v>50</v>
      </c>
      <c r="V133" t="n">
        <v>0.33</v>
      </c>
      <c r="W133" t="n">
        <v>0.07000000000000001</v>
      </c>
      <c r="X133" t="n">
        <v>0</v>
      </c>
      <c r="AB133" t="inlineStr">
        <is>
          <t>Dec-26</t>
        </is>
      </c>
      <c r="AC133" t="inlineStr">
        <is>
          <t>Mar - 27</t>
        </is>
      </c>
      <c r="AD133" t="inlineStr">
        <is>
          <t>Forest, Uttar Pradesh (15.77 ha, ): Stage-I Awaited
Forest, Rajasthan (16.2877 ha, ): Stage-I Awaited</t>
        </is>
      </c>
    </row>
    <row r="134">
      <c r="E134" t="inlineStr">
        <is>
          <t>LILO of both ckt of 765 kV Aligarh (PG) - Orai (PG) D/c line at Ghiror
S/s</t>
        </is>
      </c>
      <c r="P134" t="inlineStr">
        <is>
          <t>Dec-24</t>
        </is>
      </c>
      <c r="Q134" t="n">
        <v>49</v>
      </c>
      <c r="R134" t="n">
        <v>70</v>
      </c>
      <c r="S134" t="n">
        <v>19</v>
      </c>
      <c r="T134" t="n">
        <v>4</v>
      </c>
      <c r="V134" t="n">
        <v>0.27</v>
      </c>
      <c r="W134" t="n">
        <v>0.06</v>
      </c>
      <c r="X134" t="n">
        <v>0</v>
      </c>
      <c r="AB134" t="inlineStr">
        <is>
          <t>Dec-26</t>
        </is>
      </c>
      <c r="AC134" t="inlineStr">
        <is>
          <t>Mar - 27</t>
        </is>
      </c>
      <c r="AD134" t="inlineStr">
        <is>
          <t>Forest, Uttar Pradesh (2.689 ha, ): Stage-II Awaited</t>
        </is>
      </c>
    </row>
    <row r="135">
      <c r="E135" t="inlineStr">
        <is>
          <t>LILO of one ckt of 765kV Agra (PG) – Fatehpur (PG) 2xS/c line at
Ghiror S/s</t>
        </is>
      </c>
      <c r="P135" t="inlineStr">
        <is>
          <t>Dec-24</t>
        </is>
      </c>
      <c r="Q135" t="n">
        <v>50</v>
      </c>
      <c r="R135" t="n">
        <v>66</v>
      </c>
      <c r="S135" t="n">
        <v>21</v>
      </c>
      <c r="T135" t="n">
        <v>1</v>
      </c>
      <c r="V135" t="n">
        <v>0.32</v>
      </c>
      <c r="W135" t="n">
        <v>0.02</v>
      </c>
      <c r="X135" t="n">
        <v>0</v>
      </c>
      <c r="AB135" t="inlineStr">
        <is>
          <t>Dec-26</t>
        </is>
      </c>
      <c r="AC135" t="inlineStr">
        <is>
          <t>Mar - 27</t>
        </is>
      </c>
      <c r="AD135" t="inlineStr">
        <is>
          <t>Forest, Uttar Pradesh (0.410 ha, ): Stage-II Awaited</t>
        </is>
      </c>
    </row>
    <row r="136">
      <c r="E136" t="inlineStr">
        <is>
          <t>400kV Ghiror-Firozabad (UPPTCL) D/c line.</t>
        </is>
      </c>
      <c r="P136" t="inlineStr">
        <is>
          <t>Dec-24</t>
        </is>
      </c>
      <c r="Q136" t="n">
        <v>97</v>
      </c>
      <c r="R136" t="n">
        <v>132</v>
      </c>
      <c r="S136" t="n">
        <v>40</v>
      </c>
      <c r="V136" t="n">
        <v>0.3</v>
      </c>
      <c r="W136" t="n">
        <v>0</v>
      </c>
      <c r="X136" t="n">
        <v>0</v>
      </c>
      <c r="AB136" t="inlineStr">
        <is>
          <t>Dec-26</t>
        </is>
      </c>
      <c r="AC136" t="inlineStr">
        <is>
          <t>Mar - 27</t>
        </is>
      </c>
      <c r="AD136" t="inlineStr">
        <is>
          <t>Forest, Uttar Pradesh (22.8045 ha, ): Stage-I Awaited</t>
        </is>
      </c>
    </row>
    <row r="137">
      <c r="E137" t="inlineStr">
        <is>
          <t>STATCOM (2X±300 MVAr) along with MSC (4X125 MVAr) and MSR
(2X125 MVAr) at Barmer-I PS</t>
        </is>
      </c>
      <c r="P137" t="inlineStr">
        <is>
          <t>Dec-24</t>
        </is>
      </c>
      <c r="AB137" t="inlineStr">
        <is>
          <t>Dec-26</t>
        </is>
      </c>
      <c r="AC137" t="inlineStr">
        <is>
          <t>Mar - 27</t>
        </is>
      </c>
    </row>
    <row r="138">
      <c r="E138" t="inlineStr">
        <is>
          <t>Transmission System under ISTS for evacuation of power from
Kudankulam Unit - 3 &amp; 4 (2x1000 MW)
(SPV Name: POWERGRID Kudankulam Transmission Limited)</t>
        </is>
      </c>
      <c r="P138" t="inlineStr">
        <is>
          <t>Jan-25</t>
        </is>
      </c>
      <c r="AB138" t="inlineStr">
        <is>
          <t>Dec-26</t>
        </is>
      </c>
      <c r="AC138" t="inlineStr">
        <is>
          <t>Dec - 26</t>
        </is>
      </c>
    </row>
    <row r="139">
      <c r="E139" t="inlineStr">
        <is>
          <t>Kudankulam Nuclear Power Plant (3&amp;4) – Tuticorin-II GIS PS 400 kV
(quad) D/c line</t>
        </is>
      </c>
      <c r="P139" t="inlineStr">
        <is>
          <t>Jan-25</t>
        </is>
      </c>
      <c r="Q139" t="n">
        <v>208</v>
      </c>
      <c r="R139" t="n">
        <v>278</v>
      </c>
      <c r="S139" t="n">
        <v>90</v>
      </c>
      <c r="T139" t="n">
        <v>31</v>
      </c>
      <c r="V139" t="n">
        <v>0.32</v>
      </c>
      <c r="W139" t="n">
        <v>0.11</v>
      </c>
      <c r="X139" t="n">
        <v>0</v>
      </c>
      <c r="AB139" t="inlineStr">
        <is>
          <t>Dec-26</t>
        </is>
      </c>
      <c r="AC139" t="inlineStr">
        <is>
          <t>Dec - 26</t>
        </is>
      </c>
      <c r="AD139" t="inlineStr">
        <is>
          <t>Foundation RoW (11 loc.): Tirunelveli District (11) in Tamilnadu.</t>
        </is>
      </c>
    </row>
    <row r="140">
      <c r="E140" t="inlineStr">
        <is>
          <t>System Strengthening at Koppal-II and Gadag-II for integration of
RE generation projects
(SPV Name: POWERGRID Koppal Gadag Augmentation
Transmission Limited)</t>
        </is>
      </c>
      <c r="P140" t="inlineStr">
        <is>
          <t>Jan-25</t>
        </is>
      </c>
      <c r="AB140" t="inlineStr">
        <is>
          <t>Jan-27</t>
        </is>
      </c>
      <c r="AC140" t="inlineStr">
        <is>
          <t>Jan - 27</t>
        </is>
      </c>
    </row>
    <row r="141">
      <c r="E141" t="inlineStr">
        <is>
          <t>Gadag-II PS – Koppal-II PS 400 kV (Quad) 2nd D/c line</t>
        </is>
      </c>
      <c r="P141" t="inlineStr">
        <is>
          <t>Jan-25</t>
        </is>
      </c>
      <c r="Q141" t="n">
        <v>77</v>
      </c>
      <c r="R141" t="n">
        <v>102</v>
      </c>
      <c r="S141" t="n">
        <v>7</v>
      </c>
      <c r="V141" t="n">
        <v>0.07000000000000001</v>
      </c>
      <c r="W141" t="n">
        <v>0</v>
      </c>
      <c r="X141" t="n">
        <v>0</v>
      </c>
      <c r="AB141" t="inlineStr">
        <is>
          <t>Jan-27</t>
        </is>
      </c>
      <c r="AC141" t="inlineStr">
        <is>
          <t>Jan - 27</t>
        </is>
      </c>
      <c r="AD141" t="inlineStr">
        <is>
          <t>Work under progress.</t>
        </is>
      </c>
    </row>
    <row r="142">
      <c r="E142" t="inlineStr">
        <is>
          <t>Augmentation by 3x1500 MVA (5th, 6th &amp; 7th), 765/400kV ICTs at
Koppal-II PS</t>
        </is>
      </c>
      <c r="P142" t="inlineStr">
        <is>
          <t>Jan-25</t>
        </is>
      </c>
      <c r="Y142" t="inlineStr">
        <is>
          <t>10.00%</t>
        </is>
      </c>
      <c r="AB142" t="inlineStr">
        <is>
          <t>Dec-25</t>
        </is>
      </c>
      <c r="AC142" t="inlineStr">
        <is>
          <t>Aug - 26</t>
        </is>
      </c>
      <c r="AD142" t="inlineStr">
        <is>
          <t>Work under progress.</t>
        </is>
      </c>
    </row>
    <row r="143">
      <c r="E143" t="inlineStr">
        <is>
          <t>Augmentation by 5x500 MVA, 400/220kV ICTs (5th, 6th, 7th, 8th &amp;
9th) at Koppal-II PS</t>
        </is>
      </c>
      <c r="P143" t="inlineStr">
        <is>
          <t>Jan-25</t>
        </is>
      </c>
      <c r="Y143" t="inlineStr">
        <is>
          <t>10.00%</t>
        </is>
      </c>
      <c r="AB143" t="inlineStr">
        <is>
          <t>Dec-25</t>
        </is>
      </c>
      <c r="AC143" t="inlineStr">
        <is>
          <t>Aug - 26</t>
        </is>
      </c>
      <c r="AD143" t="inlineStr">
        <is>
          <t>Work under progress.</t>
        </is>
      </c>
    </row>
    <row r="144">
      <c r="E144" t="inlineStr">
        <is>
          <t>Augmentation by 7x500 MVA, 400/220kV ICTs (3rd, 4th, 5th, 6th,
7th, 8th &amp; 9th) at Gadag-II PS</t>
        </is>
      </c>
      <c r="P144" t="inlineStr">
        <is>
          <t>Jan-25</t>
        </is>
      </c>
      <c r="Y144" t="inlineStr">
        <is>
          <t>2.00%</t>
        </is>
      </c>
      <c r="AB144" t="inlineStr">
        <is>
          <t>Jan-27</t>
        </is>
      </c>
      <c r="AC144" t="inlineStr">
        <is>
          <t>Jan - 27</t>
        </is>
      </c>
    </row>
    <row r="145">
      <c r="E145" t="inlineStr">
        <is>
          <t>Augmentation of transformation capacity at Bidar PS
(SPV Name: POWERGRID Bidar Augmentation Transmission
Limited)</t>
        </is>
      </c>
      <c r="P145" t="inlineStr">
        <is>
          <t>Feb-25</t>
        </is>
      </c>
      <c r="AB145" t="inlineStr">
        <is>
          <t>Feb-27</t>
        </is>
      </c>
      <c r="AC145" t="inlineStr">
        <is>
          <t>Feb - 27</t>
        </is>
      </c>
    </row>
    <row r="146">
      <c r="E146" t="inlineStr">
        <is>
          <t>Augmentation by 1x1500 MVA (4th), 765/400kV ICT at Bidar PS</t>
        </is>
      </c>
      <c r="P146" t="inlineStr">
        <is>
          <t>Feb-25</t>
        </is>
      </c>
      <c r="Y146" t="inlineStr">
        <is>
          <t>2.00%</t>
        </is>
      </c>
      <c r="AB146" t="inlineStr">
        <is>
          <t>Feb-27</t>
        </is>
      </c>
      <c r="AC146" t="inlineStr">
        <is>
          <t>Feb - 27</t>
        </is>
      </c>
      <c r="AD146" t="inlineStr">
        <is>
          <t>Work under progress.</t>
        </is>
      </c>
    </row>
    <row r="147">
      <c r="E147" t="inlineStr">
        <is>
          <t>Augmentation by 3x500 MVA, 400/220kV ICTs (6th, 7th, &amp; 8th) at
Bidar PS</t>
        </is>
      </c>
      <c r="P147" t="inlineStr">
        <is>
          <t>Feb-25</t>
        </is>
      </c>
      <c r="Y147" t="inlineStr">
        <is>
          <t>2.00%</t>
        </is>
      </c>
      <c r="AB147" t="inlineStr">
        <is>
          <t>Feb-27</t>
        </is>
      </c>
      <c r="AC147" t="inlineStr">
        <is>
          <t>Feb - 27</t>
        </is>
      </c>
      <c r="AD147" t="inlineStr">
        <is>
          <t>Work under progress.</t>
        </is>
      </c>
    </row>
    <row r="148">
      <c r="E148" t="inlineStr">
        <is>
          <t>Augmentation of transformation capacity at KPS2 &amp; KPS2 (Phase V
Part B1 &amp; B2)
(SPV Name: POWERGRID KPS1 and 2 Augmentation Transmission
Limited)</t>
        </is>
      </c>
      <c r="P148" t="inlineStr">
        <is>
          <t>Feb-25</t>
        </is>
      </c>
      <c r="AB148" t="inlineStr">
        <is>
          <t>Feb-27</t>
        </is>
      </c>
      <c r="AC148" t="inlineStr">
        <is>
          <t>Feb - 27</t>
        </is>
      </c>
    </row>
    <row r="149">
      <c r="E149" t="inlineStr">
        <is>
          <t>Augmentation by 1x1500 MVA (9th), 765/400kV ICT at KPS1(GIS) on
Bus section-II</t>
        </is>
      </c>
      <c r="P149" t="inlineStr">
        <is>
          <t>Feb-25</t>
        </is>
      </c>
      <c r="AB149" t="inlineStr">
        <is>
          <t>Feb-27</t>
        </is>
      </c>
      <c r="AC149" t="inlineStr">
        <is>
          <t>Feb - 27</t>
        </is>
      </c>
      <c r="AD149" t="inlineStr">
        <is>
          <t>Engg under progress</t>
        </is>
      </c>
    </row>
    <row r="150">
      <c r="E150" t="inlineStr">
        <is>
          <t>Augmentation by 1x1500 MVA (9th), 765/400kV ICT at KPS2(GIS) on
Bus section-I</t>
        </is>
      </c>
      <c r="P150" t="inlineStr">
        <is>
          <t>Feb-25</t>
        </is>
      </c>
      <c r="Y150" t="inlineStr">
        <is>
          <t>1.00%</t>
        </is>
      </c>
      <c r="AB150" t="inlineStr">
        <is>
          <t>Feb-27</t>
        </is>
      </c>
      <c r="AC150" t="inlineStr">
        <is>
          <t>Feb - 27</t>
        </is>
      </c>
      <c r="AD150" t="inlineStr">
        <is>
          <t>Work under progress.</t>
        </is>
      </c>
    </row>
    <row r="151">
      <c r="E151" t="inlineStr">
        <is>
          <t>Augmentation of Banaskantha (Raghanesda) PS (GIS)
(SPV Name: POWERGRID Banaskantha Augmentation
Transmission Limited)</t>
        </is>
      </c>
      <c r="P151" t="inlineStr">
        <is>
          <t>Mar-25</t>
        </is>
      </c>
      <c r="AB151" t="inlineStr">
        <is>
          <t>Mar-27</t>
        </is>
      </c>
      <c r="AC151" t="inlineStr">
        <is>
          <t>Mar - 27</t>
        </is>
      </c>
    </row>
    <row r="152">
      <c r="E152" t="inlineStr">
        <is>
          <t>Augmentation of transformation capacity at Banaskantha
(Raghanesda) PS (GIS) by 2x500 MVA, 400/220 kV ICTs (3rd and 4th)</t>
        </is>
      </c>
      <c r="P152" t="inlineStr">
        <is>
          <t>Mar-25</t>
        </is>
      </c>
      <c r="Y152" t="inlineStr">
        <is>
          <t>30.00%</t>
        </is>
      </c>
      <c r="AB152" t="inlineStr">
        <is>
          <t>Mar-27</t>
        </is>
      </c>
      <c r="AC152" t="inlineStr">
        <is>
          <t>Mar - 27</t>
        </is>
      </c>
      <c r="AD152" t="inlineStr">
        <is>
          <t>Work under progress.</t>
        </is>
      </c>
    </row>
    <row r="153">
      <c r="E153" t="inlineStr">
        <is>
          <t>Transmission System for Integration of Kurnool-IV REZ – Phase-I
(for 4.5 GW)
(SPV Name: POWERGRID Kurnool-IV Transmission Limited)</t>
        </is>
      </c>
      <c r="P153" t="inlineStr">
        <is>
          <t>Mar-25</t>
        </is>
      </c>
      <c r="AB153" t="inlineStr">
        <is>
          <t>Mar-27</t>
        </is>
      </c>
      <c r="AC153" t="inlineStr">
        <is>
          <t>Mar - 27</t>
        </is>
      </c>
    </row>
    <row r="154">
      <c r="E154" t="inlineStr">
        <is>
          <t>Establishment of 4x1500 MVA, 765/400 kV and 4x500 MVA, 400/220
kV Kurnool-IV Pooling Station</t>
        </is>
      </c>
      <c r="P154" t="inlineStr">
        <is>
          <t>Mar-25</t>
        </is>
      </c>
      <c r="AB154" t="inlineStr">
        <is>
          <t>Mar-27</t>
        </is>
      </c>
      <c r="AC154" t="inlineStr">
        <is>
          <t>Mar - 27</t>
        </is>
      </c>
      <c r="AD154" t="inlineStr">
        <is>
          <t>Pvt Land (191 Acre): Pending (191) Acre. RDO held meeting with land owners on
19.06.2025 and third tripartite meeting held on 02.07.2025 and land rate has
been finalised. 33 out of 96 landowners have given consent for 74.69 acres of land
and remaining are being pursued.</t>
        </is>
      </c>
    </row>
    <row r="155">
      <c r="E155" t="inlineStr">
        <is>
          <t>Kurnool-IV – Bidar 765 kV D/C line</t>
        </is>
      </c>
      <c r="P155" t="inlineStr">
        <is>
          <t>Mar-25</t>
        </is>
      </c>
      <c r="Q155" t="n">
        <v>533</v>
      </c>
      <c r="R155" t="n">
        <v>698</v>
      </c>
      <c r="S155" t="n">
        <v>41</v>
      </c>
      <c r="V155" t="n">
        <v>0.06</v>
      </c>
      <c r="W155" t="n">
        <v>0</v>
      </c>
      <c r="X155" t="n">
        <v>0</v>
      </c>
      <c r="AB155" t="inlineStr">
        <is>
          <t>Mar-27</t>
        </is>
      </c>
      <c r="AC155" t="inlineStr">
        <is>
          <t>Mar - 27</t>
        </is>
      </c>
      <c r="AD155" t="inlineStr">
        <is>
          <t>Forest, Telangana (11.66 ha, ): Stage-I Awaited</t>
        </is>
      </c>
    </row>
    <row r="156">
      <c r="E156" t="inlineStr">
        <is>
          <t>Kurnool-IV – Kurnool-III PS 765 kV D/C line</t>
        </is>
      </c>
      <c r="P156" t="inlineStr">
        <is>
          <t>Mar-25</t>
        </is>
      </c>
      <c r="Q156" t="n">
        <v>252</v>
      </c>
      <c r="R156" t="n">
        <v>333</v>
      </c>
      <c r="S156" t="n">
        <v>51</v>
      </c>
      <c r="T156" t="n">
        <v>6</v>
      </c>
      <c r="V156" t="n">
        <v>0.15</v>
      </c>
      <c r="W156" t="n">
        <v>0.02</v>
      </c>
      <c r="X156" t="n">
        <v>0</v>
      </c>
      <c r="AB156" t="inlineStr">
        <is>
          <t>Mar-27</t>
        </is>
      </c>
      <c r="AC156" t="inlineStr">
        <is>
          <t>Mar - 27</t>
        </is>
      </c>
      <c r="AD156" t="inlineStr">
        <is>
          <t>Work under progress.</t>
        </is>
      </c>
    </row>
    <row r="157">
      <c r="E157" t="inlineStr">
        <is>
          <t>300 MVAr STATCOM at Kurnool-IV PS along with 2x125 MVAr MSR</t>
        </is>
      </c>
      <c r="P157" t="inlineStr">
        <is>
          <t>Mar-25</t>
        </is>
      </c>
      <c r="AB157" t="inlineStr">
        <is>
          <t>Mar-27</t>
        </is>
      </c>
      <c r="AC157" t="inlineStr">
        <is>
          <t>Mar - 27</t>
        </is>
      </c>
      <c r="AD157" t="inlineStr">
        <is>
          <t>Engg under progress</t>
        </is>
      </c>
    </row>
    <row r="158">
      <c r="E158" t="inlineStr">
        <is>
          <t>Augmentation by 1x1500 MVA, 765/400 kV ICT (3rd) at C’Peta</t>
        </is>
      </c>
      <c r="P158" t="inlineStr">
        <is>
          <t>Mar-25</t>
        </is>
      </c>
      <c r="Y158" t="inlineStr">
        <is>
          <t>1.00%</t>
        </is>
      </c>
      <c r="AB158" t="inlineStr">
        <is>
          <t>Mar-27</t>
        </is>
      </c>
      <c r="AC158" t="inlineStr">
        <is>
          <t>Mar - 27</t>
        </is>
      </c>
      <c r="AD158" t="inlineStr">
        <is>
          <t>Work under progress.</t>
        </is>
      </c>
    </row>
    <row r="159">
      <c r="E159" t="inlineStr">
        <is>
          <t>LILO of Vijayawada-Nellore 400 kV D/C line at C’Peta</t>
        </is>
      </c>
      <c r="P159" t="inlineStr">
        <is>
          <t>Mar-25</t>
        </is>
      </c>
      <c r="Q159" t="n">
        <v>64</v>
      </c>
      <c r="R159" t="n">
        <v>99</v>
      </c>
      <c r="V159" t="n">
        <v>0</v>
      </c>
      <c r="W159" t="n">
        <v>0</v>
      </c>
      <c r="X159" t="n">
        <v>0</v>
      </c>
      <c r="AB159" t="inlineStr">
        <is>
          <t>Mar-27</t>
        </is>
      </c>
      <c r="AC159" t="inlineStr">
        <is>
          <t>Mar - 27</t>
        </is>
      </c>
      <c r="AD159" t="inlineStr">
        <is>
          <t>Engg under progress</t>
        </is>
      </c>
    </row>
    <row r="160">
      <c r="E160" t="inlineStr">
        <is>
          <t>Rajasthan REZ Ph-V (Part-1: 4 GW) [Sirohi/Nagaur] Complex
(SPV Name: Rajasthan V Power Transmission Limited)</t>
        </is>
      </c>
      <c r="P160" t="inlineStr">
        <is>
          <t>Mar-25</t>
        </is>
      </c>
      <c r="AB160" t="inlineStr">
        <is>
          <t>Mar-27</t>
        </is>
      </c>
      <c r="AC160" t="inlineStr">
        <is>
          <t>Mar - 27</t>
        </is>
      </c>
    </row>
    <row r="161">
      <c r="E161" t="inlineStr">
        <is>
          <t>Aaugmentation by 4x500 MVA, 400/220 kV ICTs at Sirohi S/s</t>
        </is>
      </c>
      <c r="P161" t="inlineStr">
        <is>
          <t>Mar-25</t>
        </is>
      </c>
      <c r="AB161" t="inlineStr">
        <is>
          <t>Mar-27</t>
        </is>
      </c>
      <c r="AC161" t="inlineStr">
        <is>
          <t>Mar - 27</t>
        </is>
      </c>
      <c r="AD161" t="inlineStr">
        <is>
          <t>Engg. under progress.</t>
        </is>
      </c>
    </row>
    <row r="162">
      <c r="E162" t="inlineStr">
        <is>
          <t>Sirohi – Mandsaur PS 765 kV D/C line</t>
        </is>
      </c>
      <c r="P162" t="inlineStr">
        <is>
          <t>Mar-25</t>
        </is>
      </c>
      <c r="Q162" t="n">
        <v>622</v>
      </c>
      <c r="R162" t="n">
        <v>861</v>
      </c>
      <c r="S162" t="n">
        <v>93</v>
      </c>
      <c r="V162" t="n">
        <v>0.11</v>
      </c>
      <c r="W162" t="n">
        <v>0</v>
      </c>
      <c r="X162" t="n">
        <v>0</v>
      </c>
      <c r="AB162" t="inlineStr">
        <is>
          <t>Mar-27</t>
        </is>
      </c>
      <c r="AC162" t="inlineStr">
        <is>
          <t>Mar - 27</t>
        </is>
      </c>
      <c r="AD162" t="inlineStr">
        <is>
          <t>(i) Forest,Rajasthan (53.2984 ha, ): Stage-I Awaited
(ii) Forest,Madhya Pradesh (10.9947 ha, ): Stage-I Awaited</t>
        </is>
      </c>
    </row>
    <row r="163">
      <c r="E163" t="inlineStr">
        <is>
          <t>Mandsaur PS – Khandwa (New) 765 kV D/C line</t>
        </is>
      </c>
      <c r="P163" t="inlineStr">
        <is>
          <t>Mar-25</t>
        </is>
      </c>
      <c r="Q163" t="n">
        <v>535</v>
      </c>
      <c r="R163" t="n">
        <v>712</v>
      </c>
      <c r="S163" t="n">
        <v>162</v>
      </c>
      <c r="T163" t="n">
        <v>20</v>
      </c>
      <c r="V163" t="n">
        <v>0.23</v>
      </c>
      <c r="W163" t="n">
        <v>0.03</v>
      </c>
      <c r="X163" t="n">
        <v>0</v>
      </c>
      <c r="AB163" t="inlineStr">
        <is>
          <t>Mar-27</t>
        </is>
      </c>
      <c r="AC163" t="inlineStr">
        <is>
          <t>Mar - 27</t>
        </is>
      </c>
      <c r="AD163" t="inlineStr">
        <is>
          <t>Forest,Madhya Pradesh (87.68 ha, ): Stage-I Awaited</t>
        </is>
      </c>
    </row>
    <row r="164">
      <c r="E164" t="inlineStr">
        <is>
          <t>Transmission Scheme for integration of Davanagere/ Chitradurga
and Bellary REZ in Karnataka
(SPV Name: POWERGRID Chitradurga Bellary Transmission</t>
        </is>
      </c>
      <c r="P164" t="inlineStr">
        <is>
          <t>Mar-25</t>
        </is>
      </c>
      <c r="AB164" t="inlineStr">
        <is>
          <t>Sep-27</t>
        </is>
      </c>
      <c r="AC164" t="inlineStr">
        <is>
          <t>Sep - 27</t>
        </is>
      </c>
    </row>
    <row r="165">
      <c r="E165" t="inlineStr">
        <is>
          <t>Establishment of 765/400 kV, 4x1500 MVA, 400/220 kV 4x500 MVA
Pooling Station near Davanagere / Chitradurga, Karnataka</t>
        </is>
      </c>
      <c r="P165" t="inlineStr">
        <is>
          <t>Mar-25</t>
        </is>
      </c>
      <c r="AB165" t="inlineStr">
        <is>
          <t>Mar-27</t>
        </is>
      </c>
      <c r="AC165" t="inlineStr">
        <is>
          <t>Mar - 27</t>
        </is>
      </c>
      <c r="AD165" t="inlineStr">
        <is>
          <t>Land (145 Acre), all Pvt: Pending (145) Acre</t>
        </is>
      </c>
    </row>
    <row r="166">
      <c r="E166" t="inlineStr">
        <is>
          <t>LILO of Narendra New – Madhugiri 765 kV D/C line at Davanagere /
Chitradurga 765/400 kV PS</t>
        </is>
      </c>
      <c r="P166" t="inlineStr">
        <is>
          <t>Mar-25</t>
        </is>
      </c>
      <c r="Q166" t="n">
        <v>137</v>
      </c>
      <c r="R166" t="n">
        <v>204</v>
      </c>
      <c r="V166" t="n">
        <v>0</v>
      </c>
      <c r="W166" t="n">
        <v>0</v>
      </c>
      <c r="X166" t="n">
        <v>0</v>
      </c>
      <c r="AB166" t="inlineStr">
        <is>
          <t>Mar-27</t>
        </is>
      </c>
      <c r="AC166" t="inlineStr">
        <is>
          <t>Mar - 27</t>
        </is>
      </c>
      <c r="AD166" t="inlineStr">
        <is>
          <t>Engg. under progress.</t>
        </is>
      </c>
    </row>
    <row r="167">
      <c r="E167" t="inlineStr">
        <is>
          <t>Upgradation of Madhugiri {Tumkur (Vasantnarsapura)} substation to
its rated voltage of 765 kV level alongwith 3x1500 MVA, 765/400 kV
ICTs</t>
        </is>
      </c>
      <c r="P167" t="inlineStr">
        <is>
          <t>Mar-25</t>
        </is>
      </c>
      <c r="Y167" t="inlineStr">
        <is>
          <t>7.00%</t>
        </is>
      </c>
      <c r="AB167" t="inlineStr">
        <is>
          <t>Mar-27</t>
        </is>
      </c>
      <c r="AC167" t="inlineStr">
        <is>
          <t>Mar - 27</t>
        </is>
      </c>
      <c r="AD167" t="inlineStr">
        <is>
          <t>work under progress</t>
        </is>
      </c>
    </row>
    <row r="168">
      <c r="E168" t="inlineStr">
        <is>
          <t>Upgradation of Narendra New – Madhugiri 765 kV D/C line
(presently charged at 400 kV level) at its rated 765 kV voltage level</t>
        </is>
      </c>
      <c r="P168" t="inlineStr">
        <is>
          <t>Mar-25</t>
        </is>
      </c>
      <c r="AB168" t="inlineStr">
        <is>
          <t>Mar-27</t>
        </is>
      </c>
      <c r="AC168" t="inlineStr">
        <is>
          <t>Mar - 27</t>
        </is>
      </c>
      <c r="AD168" t="inlineStr">
        <is>
          <t>Engg. under progress.</t>
        </is>
      </c>
    </row>
    <row r="169">
      <c r="E169" t="inlineStr">
        <is>
          <t>Establishment of 4x500 MVA, 400/220 kV Pooling Station near
Bellary area (Bellary PS), Karnataka</t>
        </is>
      </c>
      <c r="P169" t="inlineStr">
        <is>
          <t>Mar-25</t>
        </is>
      </c>
      <c r="AB169" t="inlineStr">
        <is>
          <t>Sep-27</t>
        </is>
      </c>
      <c r="AC169" t="inlineStr">
        <is>
          <t>Sep - 27</t>
        </is>
      </c>
      <c r="AD169" t="inlineStr">
        <is>
          <t>Pvt. (68 Acre): Pending (68) Acre.
Request letter has been submitted to DC, Vijayanagar on 27.02.25 for voluntary
acquisition of land under Karnataka state specific amendments/rules in RFTLARR
Act, 2013.</t>
        </is>
      </c>
    </row>
    <row r="170">
      <c r="E170" t="inlineStr">
        <is>
          <t>Bellary PS – Davanagere / Chitradurga 400 kV D/C line</t>
        </is>
      </c>
      <c r="P170" t="inlineStr">
        <is>
          <t>Mar-25</t>
        </is>
      </c>
      <c r="Q170" t="n">
        <v>200</v>
      </c>
      <c r="R170" t="n">
        <v>183</v>
      </c>
      <c r="S170" t="n">
        <v>7</v>
      </c>
      <c r="V170" t="n">
        <v>0.04</v>
      </c>
      <c r="W170" t="n">
        <v>0</v>
      </c>
      <c r="X170" t="n">
        <v>0</v>
      </c>
      <c r="AB170" t="inlineStr">
        <is>
          <t>Sep-27</t>
        </is>
      </c>
      <c r="AC170" t="inlineStr">
        <is>
          <t>Sep - 27</t>
        </is>
      </c>
    </row>
    <row r="171">
      <c r="E171" t="inlineStr">
        <is>
          <t>Augmentation at Fatehgarh-II PS, Fatehgarh-IV PS (Section-II) and
Barmer-I PS
(SPV Name: POWERGRID Fatehgarh Barmer Augmentation
Transmission Limited)</t>
        </is>
      </c>
      <c r="P171" t="inlineStr">
        <is>
          <t>Mar-25</t>
        </is>
      </c>
      <c r="AB171" t="inlineStr">
        <is>
          <t>Dec-26</t>
        </is>
      </c>
      <c r="AC171" t="inlineStr">
        <is>
          <t>Mar - 27</t>
        </is>
      </c>
    </row>
    <row r="172">
      <c r="E172" t="inlineStr">
        <is>
          <t>Augmentation with 765/400 kV, 1x1500 MVA Transformer (7th ) at
Fatehgarh-II PS</t>
        </is>
      </c>
      <c r="P172" t="inlineStr">
        <is>
          <t>Mar-25</t>
        </is>
      </c>
      <c r="AB172" t="inlineStr">
        <is>
          <t>Dec-26</t>
        </is>
      </c>
      <c r="AC172" t="inlineStr">
        <is>
          <t>Mar - 27</t>
        </is>
      </c>
      <c r="AD172" t="inlineStr">
        <is>
          <t>Engg Under Progress</t>
        </is>
      </c>
    </row>
    <row r="173">
      <c r="E173" t="inlineStr">
        <is>
          <t>Augmentation with 400/220 kV, 3x500 MVA (6th ,7th &amp; 8th) ICTs at
Fatehgarh-IV PS(Section-II)</t>
        </is>
      </c>
      <c r="P173" t="inlineStr">
        <is>
          <t>Mar-25</t>
        </is>
      </c>
      <c r="AB173" t="inlineStr">
        <is>
          <t>Nov-26</t>
        </is>
      </c>
      <c r="AC173" t="inlineStr">
        <is>
          <t>Mar - 27</t>
        </is>
      </c>
      <c r="AD173" t="inlineStr">
        <is>
          <t>Engg Under Progress</t>
        </is>
      </c>
    </row>
    <row r="174">
      <c r="E174" t="inlineStr">
        <is>
          <t>Augmentation with 400/220 kV, 2x500 MVA (3rd &amp; 4th) ICTs at
Barmer-I PS</t>
        </is>
      </c>
      <c r="P174" t="inlineStr">
        <is>
          <t>Mar-25</t>
        </is>
      </c>
      <c r="AB174" t="inlineStr">
        <is>
          <t>Nov-26</t>
        </is>
      </c>
      <c r="AC174" t="inlineStr">
        <is>
          <t>Mar - 27</t>
        </is>
      </c>
      <c r="AD174" t="inlineStr">
        <is>
          <t>Engg Under Progress</t>
        </is>
      </c>
    </row>
    <row r="175">
      <c r="E175" t="inlineStr">
        <is>
          <t>Transmission system strengthening at Kurnool- III PS for
integration of additional RE generation projects
(SPV Name: POWERGRID Kurnool-III CPETA Transmission Limited)</t>
        </is>
      </c>
      <c r="P175" t="inlineStr">
        <is>
          <t>Mar-25</t>
        </is>
      </c>
      <c r="AB175" t="inlineStr">
        <is>
          <t>Mar-27</t>
        </is>
      </c>
      <c r="AC175" t="inlineStr">
        <is>
          <t>Mar - 27</t>
        </is>
      </c>
    </row>
    <row r="176">
      <c r="E176" t="inlineStr">
        <is>
          <t>Augmentation of transformation capacity by 3x1500 MVA, 765/400
kV ICTs at Kurnool-III PS</t>
        </is>
      </c>
      <c r="P176" t="inlineStr">
        <is>
          <t>Mar-25</t>
        </is>
      </c>
      <c r="Y176" t="inlineStr">
        <is>
          <t>2.00%</t>
        </is>
      </c>
      <c r="AB176" t="inlineStr">
        <is>
          <t>Mar-27</t>
        </is>
      </c>
      <c r="AC176" t="inlineStr">
        <is>
          <t>Mar - 27</t>
        </is>
      </c>
      <c r="AD176" t="inlineStr">
        <is>
          <t>Work Under Progress</t>
        </is>
      </c>
    </row>
    <row r="177">
      <c r="E177" t="inlineStr">
        <is>
          <t>Kurnool-III PS – Chilakaluripeta 765 kV D/c line</t>
        </is>
      </c>
      <c r="P177" t="inlineStr">
        <is>
          <t>Mar-25</t>
        </is>
      </c>
      <c r="Q177" t="n">
        <v>584</v>
      </c>
      <c r="R177" t="n">
        <v>778</v>
      </c>
      <c r="S177" t="n">
        <v>28</v>
      </c>
      <c r="V177" t="n">
        <v>0.04</v>
      </c>
      <c r="W177" t="n">
        <v>0</v>
      </c>
      <c r="X177" t="n">
        <v>0</v>
      </c>
      <c r="AB177" t="inlineStr">
        <is>
          <t>Mar-27</t>
        </is>
      </c>
      <c r="AC177" t="inlineStr">
        <is>
          <t>Mar - 27</t>
        </is>
      </c>
      <c r="AD177" t="inlineStr">
        <is>
          <t>Work Under Progress</t>
        </is>
      </c>
    </row>
    <row r="178">
      <c r="E178" t="inlineStr">
        <is>
          <t>Augmentation of 1x1500 MVA 765/400 kV ICT (7th) at Kurnool-II PS</t>
        </is>
      </c>
      <c r="P178" t="inlineStr">
        <is>
          <t>Mar-25</t>
        </is>
      </c>
      <c r="Y178" t="inlineStr">
        <is>
          <t>5.00%</t>
        </is>
      </c>
      <c r="AB178" t="inlineStr">
        <is>
          <t>Mar-27</t>
        </is>
      </c>
      <c r="AC178" t="inlineStr">
        <is>
          <t>Mar - 27</t>
        </is>
      </c>
      <c r="AD178" t="inlineStr">
        <is>
          <t>Work Under Progress</t>
        </is>
      </c>
    </row>
    <row r="179">
      <c r="E179" t="inlineStr">
        <is>
          <t>Transmission System for evacuation of power from Mahan
Energen Limited Generating Station in Madhya Pradesh
(SPV Name: POWERGRID MEL Power Transmission Limited)</t>
        </is>
      </c>
      <c r="P179" t="inlineStr">
        <is>
          <t>Jun-25</t>
        </is>
      </c>
      <c r="AB179" t="inlineStr">
        <is>
          <t>Dec-27</t>
        </is>
      </c>
      <c r="AC179" t="inlineStr">
        <is>
          <t>Dec - 27</t>
        </is>
      </c>
    </row>
    <row r="180">
      <c r="E180" t="inlineStr">
        <is>
          <t>Mahan (existing bus) – Rewa PS (PG) 400 kV D/c (Quad
ACSR/AAAC/AL59 moose equivalent) line</t>
        </is>
      </c>
      <c r="P180" t="inlineStr">
        <is>
          <t>Jun-25</t>
        </is>
      </c>
      <c r="Q180" t="n">
        <v>277</v>
      </c>
      <c r="R180" t="n">
        <v>399</v>
      </c>
      <c r="V180" t="n">
        <v>0</v>
      </c>
      <c r="W180" t="n">
        <v>0</v>
      </c>
      <c r="X180" t="n">
        <v>0</v>
      </c>
      <c r="AB180" t="inlineStr">
        <is>
          <t>Dec-27</t>
        </is>
      </c>
      <c r="AC180" t="inlineStr">
        <is>
          <t>Dec - 27</t>
        </is>
      </c>
      <c r="AD180" t="inlineStr">
        <is>
          <t>Forest,Madhya Pradesh (140.47 ha, ): Stage-I Awaited. Proposal submitted on
16.09.2025. Proposal recommended in PSC-I meeting on 23.09.2025 and
forwarded to DFO for filing of part-II on 24.09.2025.
Wildlife (2.039 Ha), Madhya Pradesh: Proposal submitted online on 16.09.2025.
Queries raised for revision in wildlife area on 25.10.25. Reply under process.</t>
        </is>
      </c>
    </row>
    <row r="181">
      <c r="E181" t="inlineStr">
        <is>
          <t>2 Nos. 400 kV bays at Rewa PS (PG) for termination of Mahan
(existing bus) – Rewa PS (PG) 400 kV D/c line (Quad
ACSR/AAAC/AL59 moose equivalent) line</t>
        </is>
      </c>
      <c r="P181" t="inlineStr">
        <is>
          <t>Jun-25</t>
        </is>
      </c>
      <c r="AB181" t="inlineStr">
        <is>
          <t>Dec-27</t>
        </is>
      </c>
      <c r="AC181" t="inlineStr">
        <is>
          <t>Dec - 27</t>
        </is>
      </c>
      <c r="AD181" t="inlineStr">
        <is>
          <t>Engg Under Progress</t>
        </is>
      </c>
    </row>
    <row r="182">
      <c r="E182" t="inlineStr">
        <is>
          <t>Transmission System Strengthening at Davanagere for Integration
of RE Generation
(SPV Name: POWERGRID Davanagere Power Transmission</t>
        </is>
      </c>
      <c r="P182" t="inlineStr">
        <is>
          <t>Sep-25</t>
        </is>
      </c>
      <c r="AB182" t="inlineStr">
        <is>
          <t>Sep-27</t>
        </is>
      </c>
      <c r="AC182" t="inlineStr">
        <is>
          <t>Sep - 27</t>
        </is>
      </c>
      <c r="AD182" t="inlineStr">
        <is>
          <t>SPV Acquired on 24.09.2025</t>
        </is>
      </c>
    </row>
    <row r="183">
      <c r="E183" t="inlineStr">
        <is>
          <t>Augmentation of Transformation Capacity by 4x500 MVA, 400/220
kV ICTs (5th-8th) at Davanagere PS</t>
        </is>
      </c>
      <c r="P183" t="inlineStr">
        <is>
          <t>Sep-25</t>
        </is>
      </c>
      <c r="AB183" t="inlineStr">
        <is>
          <t>Sep-27</t>
        </is>
      </c>
      <c r="AC183" t="inlineStr">
        <is>
          <t>Sep - 27</t>
        </is>
      </c>
    </row>
    <row r="184">
      <c r="E184" t="inlineStr">
        <is>
          <t>Augmentation of Davanagere/Chitradurga PS by 765/400kV, 1x1500
MVA ICTs</t>
        </is>
      </c>
      <c r="P184" t="inlineStr">
        <is>
          <t>Sep-25</t>
        </is>
      </c>
      <c r="AB184" t="inlineStr">
        <is>
          <t>Sep-27</t>
        </is>
      </c>
      <c r="AC184" t="inlineStr">
        <is>
          <t>Sep - 27</t>
        </is>
      </c>
    </row>
    <row r="185">
      <c r="E185" t="inlineStr">
        <is>
          <t>02 Nos. of 220kV line bays at Davanagere/Chitradurga PS for
termination of dedicated transmission lines of RE generation
Projects.</t>
        </is>
      </c>
      <c r="P185" t="inlineStr">
        <is>
          <t>Sep-25</t>
        </is>
      </c>
      <c r="AB185" t="inlineStr">
        <is>
          <t>Sep-27</t>
        </is>
      </c>
      <c r="AC185" t="inlineStr">
        <is>
          <t>Sep - 27</t>
        </is>
      </c>
    </row>
    <row r="186">
      <c r="E186" t="inlineStr">
        <is>
          <t>Augmentation of Transformation Capacity and Implementation of
Line Bays at Mandsaur S/S for RE Interconnection
(SPV Name: POWERGRID Mandsaur I RE Transmission Limited)</t>
        </is>
      </c>
      <c r="P186" t="inlineStr">
        <is>
          <t>Oct-25</t>
        </is>
      </c>
      <c r="AB186" t="inlineStr">
        <is>
          <t>Mar-27</t>
        </is>
      </c>
      <c r="AC186" t="inlineStr">
        <is>
          <t>Mar - 27</t>
        </is>
      </c>
      <c r="AD186" t="inlineStr">
        <is>
          <t>SPV Acquired on 08.10.2025</t>
        </is>
      </c>
    </row>
    <row r="187">
      <c r="E187" t="inlineStr">
        <is>
          <t>Augmentation of Transformation capacity by 1x1500MVA, 765/400
kV ICT (4th) (Terminated at 400 kV &amp; 765kV Bus Section-II).</t>
        </is>
      </c>
      <c r="P187" t="inlineStr">
        <is>
          <t>Oct-25</t>
        </is>
      </c>
      <c r="AB187" t="inlineStr">
        <is>
          <t>Mar-27</t>
        </is>
      </c>
      <c r="AC187" t="inlineStr">
        <is>
          <t>Mar - 27</t>
        </is>
      </c>
    </row>
    <row r="188">
      <c r="E188" t="inlineStr">
        <is>
          <t>Augmentation of Transformation capacity by 1x500MVA, 400/220kV
ICT (6th) (Terminated on 400 kV Bus Section-I &amp; 220kV Bus Section-
II).</t>
        </is>
      </c>
      <c r="P188" t="inlineStr">
        <is>
          <t>Oct-25</t>
        </is>
      </c>
      <c r="AB188" t="inlineStr">
        <is>
          <t>Mar-27</t>
        </is>
      </c>
      <c r="AC188" t="inlineStr">
        <is>
          <t>Mar - 27</t>
        </is>
      </c>
    </row>
    <row r="189">
      <c r="E189" t="inlineStr">
        <is>
          <t>Augmentation of Transformation capacity by 1x500MVA, 400/220kV
ICT (7th) (Terminated on 400 kV Bus Section-II &amp; 220kV Bus Section-
III) at Mandsaur PS</t>
        </is>
      </c>
      <c r="P189" t="inlineStr">
        <is>
          <t>Oct-25</t>
        </is>
      </c>
      <c r="AB189" t="inlineStr">
        <is>
          <t>Mar-27</t>
        </is>
      </c>
      <c r="AC189" t="inlineStr">
        <is>
          <t>Mar - 27</t>
        </is>
      </c>
    </row>
    <row r="190">
      <c r="E190" t="inlineStr">
        <is>
          <t>Inter-regional (NR-WR) Transmission System strengthening to
relieve the loading of 765 kV Vindhyachal-Varanasi D/c line</t>
        </is>
      </c>
      <c r="P190" t="inlineStr">
        <is>
          <t>Oct-25</t>
        </is>
      </c>
      <c r="AB190" t="inlineStr">
        <is>
          <t>Oct-27</t>
        </is>
      </c>
      <c r="AC190" t="inlineStr">
        <is>
          <t>Oct - 27</t>
        </is>
      </c>
      <c r="AD190" t="inlineStr">
        <is>
          <t>SPV Acquired on 16.10.2025</t>
        </is>
      </c>
    </row>
    <row r="191">
      <c r="E191" t="inlineStr">
        <is>
          <t>Establishment of 765 kV Prayagraj S/s near Prayagraj (Uttar Pradesh)
along with 2x330 MVAr 765 kV Bus reactors</t>
        </is>
      </c>
      <c r="P191" t="inlineStr">
        <is>
          <t>Oct-25</t>
        </is>
      </c>
      <c r="AB191" t="inlineStr">
        <is>
          <t>Oct-27</t>
        </is>
      </c>
      <c r="AC191" t="inlineStr">
        <is>
          <t>Oct - 27</t>
        </is>
      </c>
      <c r="AD191" t="inlineStr">
        <is>
          <t>Pvt. (123 Acre): Pending (123) Acre.</t>
        </is>
      </c>
    </row>
    <row r="192">
      <c r="E192" t="inlineStr">
        <is>
          <t>LILO of 765 kV Fatehpur-Varanasi S/C line at Prayagraj</t>
        </is>
      </c>
      <c r="P192" t="inlineStr">
        <is>
          <t>Oct-25</t>
        </is>
      </c>
      <c r="Q192" t="n">
        <v>30</v>
      </c>
      <c r="X192" t="n">
        <v>0</v>
      </c>
      <c r="AB192" t="inlineStr">
        <is>
          <t>Oct-27</t>
        </is>
      </c>
      <c r="AC192" t="inlineStr">
        <is>
          <t>Oct - 27</t>
        </is>
      </c>
    </row>
    <row r="193">
      <c r="E193" t="inlineStr">
        <is>
          <t>LILO of 765 kV Fatehpur-Sasaram S/C line at Prayagraj</t>
        </is>
      </c>
      <c r="P193" t="inlineStr">
        <is>
          <t>Oct-25</t>
        </is>
      </c>
      <c r="Q193" t="n">
        <v>28</v>
      </c>
      <c r="X193" t="n">
        <v>0</v>
      </c>
      <c r="AB193" t="inlineStr">
        <is>
          <t>Oct-27</t>
        </is>
      </c>
      <c r="AC193" t="inlineStr">
        <is>
          <t>Oct - 27</t>
        </is>
      </c>
    </row>
    <row r="194">
      <c r="E194" t="inlineStr">
        <is>
          <t>765 kV Vindhyachal Pool - Prayagraj D/C line along with 330 MVAr
line reactor (switchable) at Prayagraj end on each circuit of 765 Kv
Vindhyachal Pool - Prayagraj D/C line</t>
        </is>
      </c>
      <c r="P194" t="inlineStr">
        <is>
          <t>Oct-25</t>
        </is>
      </c>
      <c r="Q194" t="n">
        <v>440</v>
      </c>
      <c r="X194" t="n">
        <v>0</v>
      </c>
      <c r="AB194" t="inlineStr">
        <is>
          <t>Oct-27</t>
        </is>
      </c>
      <c r="AC194" t="inlineStr">
        <is>
          <t>Oct - 27</t>
        </is>
      </c>
    </row>
    <row r="195">
      <c r="E195" t="inlineStr">
        <is>
          <t>Bypassing of both circuits of 765 kV Sasan – Vindhyachal Pool 2xS/C
line at Vindhyachal Pool and connecting it with 765 kV Vindhyachal
Pool - Prayagraj D/C line, thus forming 765 kV Sasan - Prayagraj D/C
line</t>
        </is>
      </c>
      <c r="P195" t="inlineStr">
        <is>
          <t>Oct-25</t>
        </is>
      </c>
      <c r="Q195" t="n">
        <v>1</v>
      </c>
      <c r="X195" t="n">
        <v>0</v>
      </c>
      <c r="AB195" t="inlineStr">
        <is>
          <t>Oct-27</t>
        </is>
      </c>
      <c r="AC195" t="inlineStr">
        <is>
          <t>Oct - 27</t>
        </is>
      </c>
    </row>
    <row r="196">
      <c r="E196" t="inlineStr">
        <is>
          <t>Inter-Regional Strengthening between SR Grid and WR Grid</t>
        </is>
      </c>
      <c r="P196" t="inlineStr">
        <is>
          <t>Oct-25</t>
        </is>
      </c>
      <c r="AB196" t="inlineStr">
        <is>
          <t>Oct-27</t>
        </is>
      </c>
      <c r="AC196" t="inlineStr">
        <is>
          <t>Oct - 27</t>
        </is>
      </c>
      <c r="AD196" t="inlineStr">
        <is>
          <t>SPV Acquired on 17.10.2025</t>
        </is>
      </c>
    </row>
    <row r="197">
      <c r="E197" t="inlineStr">
        <is>
          <t>Parli New – Bidar 765 kV D/C line with 240 MVAr
SLR at Bidar end on both circuits</t>
        </is>
      </c>
      <c r="P197" t="inlineStr">
        <is>
          <t>Oct-25</t>
        </is>
      </c>
      <c r="Q197" t="n">
        <v>240</v>
      </c>
      <c r="X197" t="n">
        <v>0</v>
      </c>
      <c r="AB197" t="inlineStr">
        <is>
          <t>Oct-27</t>
        </is>
      </c>
      <c r="AC197" t="inlineStr">
        <is>
          <t>Oct - 27</t>
        </is>
      </c>
    </row>
    <row r="198">
      <c r="E198" t="inlineStr">
        <is>
          <t>Additional 400 kV feed to Goa and additional system for power
evacuation from generation projects pooled at Raigarh (Tamnar)
Pool - Goa Tamnar Transmission Project (GTTPL)</t>
        </is>
      </c>
      <c r="P198" t="inlineStr">
        <is>
          <t>Mar-18</t>
        </is>
      </c>
      <c r="AB198" t="inlineStr">
        <is>
          <t>Nov-21</t>
        </is>
      </c>
      <c r="AC198" t="inlineStr">
        <is>
          <t>Mar - 27</t>
        </is>
      </c>
    </row>
    <row r="199">
      <c r="E199" t="inlineStr">
        <is>
          <t>LILO of one ckt. of Narendra (existing) - Narendra (New) 400kV D/c
line at Xeldem</t>
        </is>
      </c>
      <c r="P199" t="inlineStr">
        <is>
          <t>Mar-18</t>
        </is>
      </c>
      <c r="Q199" t="n">
        <v>210</v>
      </c>
      <c r="R199" t="n">
        <v>279</v>
      </c>
      <c r="S199" t="n">
        <v>77</v>
      </c>
      <c r="T199" t="n">
        <v>35</v>
      </c>
      <c r="U199" t="n">
        <v>0</v>
      </c>
      <c r="V199" t="n">
        <v>0.28</v>
      </c>
      <c r="W199" t="n">
        <v>0.13</v>
      </c>
      <c r="X199" t="n">
        <v>0</v>
      </c>
      <c r="AB199" t="inlineStr">
        <is>
          <t>Nov-21</t>
        </is>
      </c>
      <c r="AC199" t="inlineStr">
        <is>
          <t>Mar - 27</t>
        </is>
      </c>
      <c r="AD199" t="inlineStr">
        <is>
          <t>1.RoW (7 locs.) : Dharwad (7)
2. Forest (174.634 Ha, 104 locs, 75.928 cKm) in Karnataka (Wildlife area included):
Stage I Pending. Applied on 22-07-2023
3. Wildlife (32.06 Ha, 22 locs, 13.92 cKm) in Karnataka: Pending with the Chief
Wildlife Warden on account of SBWL recommendation.
4. Forest (76.994 Ha, 49 locs, 33.478 cKm) in Goa (Wildlife area included): Stage I
Pending.
5. Wildlife (27.092 Ha, 16 locs, 11.78 cKm) in Goa: Received on 23-08-24 from
NBWL.</t>
        </is>
      </c>
    </row>
    <row r="200">
      <c r="E200" t="inlineStr">
        <is>
          <t>Xeldem - Mapusa 400kV D/c line</t>
        </is>
      </c>
      <c r="P200" t="inlineStr">
        <is>
          <t>Mar-18</t>
        </is>
      </c>
      <c r="R200" t="n">
        <v>142</v>
      </c>
      <c r="S200" t="n">
        <v>142</v>
      </c>
      <c r="T200" t="n">
        <v>142</v>
      </c>
      <c r="U200" t="n">
        <v>105.64</v>
      </c>
      <c r="V200" t="n">
        <v>1</v>
      </c>
      <c r="W200" t="n">
        <v>1</v>
      </c>
      <c r="AB200" t="inlineStr">
        <is>
          <t>May-21</t>
        </is>
      </c>
      <c r="AC200" t="inlineStr">
        <is>
          <t>Nov - 24</t>
        </is>
      </c>
      <c r="AD200" t="inlineStr">
        <is>
          <t>Deemed COD declared w.e.f 00:00 hrs of 19-11-2024. Powerflow commenced on
31-05-2025.</t>
        </is>
      </c>
    </row>
    <row r="201">
      <c r="E201" t="inlineStr">
        <is>
          <t>Xeldem (existing) – Xeldem (new) 220kV D/C line</t>
        </is>
      </c>
      <c r="P201" t="inlineStr">
        <is>
          <t>Mar-18</t>
        </is>
      </c>
      <c r="R201" t="n">
        <v>66</v>
      </c>
      <c r="S201" t="n">
        <v>66</v>
      </c>
      <c r="T201" t="n">
        <v>66</v>
      </c>
      <c r="U201" t="n">
        <v>45.4</v>
      </c>
      <c r="V201" t="n">
        <v>1</v>
      </c>
      <c r="W201" t="n">
        <v>1</v>
      </c>
      <c r="AB201" t="inlineStr">
        <is>
          <t>May-21</t>
        </is>
      </c>
      <c r="AC201" t="inlineStr">
        <is>
          <t>Nov - 24</t>
        </is>
      </c>
      <c r="AD201" t="inlineStr">
        <is>
          <t>Deemed COD declared w.e.f 00:00 hrs of 19-11-2024. Powerflow commenced on
31-05-2025.</t>
        </is>
      </c>
    </row>
    <row r="202">
      <c r="E202" t="inlineStr">
        <is>
          <t>Dharamjaygarh Pool section B - Raigarh (Tamnar) Pool 765kV D/c
line</t>
        </is>
      </c>
      <c r="P202" t="inlineStr">
        <is>
          <t>Mar-18</t>
        </is>
      </c>
      <c r="R202" t="n">
        <v>179</v>
      </c>
      <c r="U202" t="n">
        <v>137</v>
      </c>
      <c r="V202" t="n">
        <v>0</v>
      </c>
      <c r="W202" t="n">
        <v>0</v>
      </c>
      <c r="AB202" t="inlineStr">
        <is>
          <t>Jul-21</t>
        </is>
      </c>
      <c r="AC202" t="inlineStr">
        <is>
          <t>Jun - 22</t>
        </is>
      </c>
      <c r="AD202" t="inlineStr">
        <is>
          <t>TL Completed</t>
        </is>
      </c>
    </row>
    <row r="203">
      <c r="E203" t="inlineStr">
        <is>
          <t>2x500MVA, 400/220kV Xeldem</t>
        </is>
      </c>
      <c r="P203" t="inlineStr">
        <is>
          <t>Mar-18</t>
        </is>
      </c>
      <c r="Y203" t="inlineStr">
        <is>
          <t>100.00%</t>
        </is>
      </c>
      <c r="Z203" t="inlineStr">
        <is>
          <t>100.00%</t>
        </is>
      </c>
      <c r="AA203" t="inlineStr">
        <is>
          <t>100.00%</t>
        </is>
      </c>
      <c r="AB203" t="inlineStr">
        <is>
          <t>May-21</t>
        </is>
      </c>
      <c r="AC203" t="inlineStr">
        <is>
          <t>Nov - 24</t>
        </is>
      </c>
      <c r="AD203" t="inlineStr">
        <is>
          <t>Charged on no load basis on 05-11-2024. Deemed COD declared w.e.f 19-11-
2024.Powerflow commenced on 31-05-2025.</t>
        </is>
      </c>
    </row>
    <row r="204">
      <c r="E204" t="inlineStr">
        <is>
          <t>Transmission System for 400 kV Udupi (UPCL) – Kasargode D/C
Line</t>
        </is>
      </c>
      <c r="P204" t="inlineStr">
        <is>
          <t>Sep-19</t>
        </is>
      </c>
      <c r="AB204" t="inlineStr">
        <is>
          <t>Nov-22</t>
        </is>
      </c>
      <c r="AC204" t="inlineStr">
        <is>
          <t>Jun - 26</t>
        </is>
      </c>
    </row>
    <row r="205">
      <c r="E205" t="inlineStr">
        <is>
          <t>Mangalore (Udupi PCL) – Kasargode 400kV D/c line</t>
        </is>
      </c>
      <c r="P205" t="inlineStr">
        <is>
          <t>Sep-19</t>
        </is>
      </c>
      <c r="Q205" t="n">
        <v>232</v>
      </c>
      <c r="R205" t="n">
        <v>281</v>
      </c>
      <c r="S205" t="n">
        <v>212</v>
      </c>
      <c r="T205" t="n">
        <v>173</v>
      </c>
      <c r="U205" t="n">
        <v>7.8</v>
      </c>
      <c r="V205" t="n">
        <v>0.75</v>
      </c>
      <c r="W205" t="n">
        <v>0.62</v>
      </c>
      <c r="X205" t="n">
        <v>0.03</v>
      </c>
      <c r="AB205" t="inlineStr">
        <is>
          <t>Nov-22</t>
        </is>
      </c>
      <c r="AC205" t="inlineStr">
        <is>
          <t>Jun - 26</t>
        </is>
      </c>
      <c r="AD205" t="inlineStr">
        <is>
          <t>1.RoW (31locs.) in Karnataka: Dakshin Kannada (31locs.)
2. Row in Kerala: 87 ckm of stringing halted due to non finalisation of land
compensation order by Govt. of Kerala.
3. Forest (31.07 Ha, 17 locs, 13.5 ckm) in Karnataka: Stage II awaited. Stage-I
received on 27-10-2022. Mangalore Division (22.11 Ha) &amp; Kundapur Division (8.96
Ha): WP received in Oct'24 &amp; TCP received in Jan'25 and Nov'24 resp.
4. Forest (17.07 Ha, 8 locs, 7.8 ckm) in Kerala: Stage II awaited. WP &amp; TCP received
on 15-10-2024. Stage-I received on 27-10-2022.</t>
        </is>
      </c>
    </row>
    <row r="206">
      <c r="E206" t="inlineStr">
        <is>
          <t>2x500MVA, 400/220 kV Kasargode</t>
        </is>
      </c>
      <c r="P206" t="inlineStr">
        <is>
          <t>Sep-19</t>
        </is>
      </c>
      <c r="Y206" t="inlineStr">
        <is>
          <t>99.93%</t>
        </is>
      </c>
      <c r="Z206" t="inlineStr">
        <is>
          <t>100.00%</t>
        </is>
      </c>
      <c r="AA206" t="inlineStr">
        <is>
          <t>99.86%</t>
        </is>
      </c>
      <c r="AB206" t="inlineStr">
        <is>
          <t>Nov-22</t>
        </is>
      </c>
      <c r="AC206" t="inlineStr">
        <is>
          <t>Jun - 26</t>
        </is>
      </c>
      <c r="AD206" t="inlineStr">
        <is>
          <t>Commissioning is dependent on completion of Udupi – Kasargode 400kV D/c line.</t>
        </is>
      </c>
    </row>
    <row r="207">
      <c r="E207" t="inlineStr">
        <is>
          <t>Transmission System for evacuation of power from Pakaldul HEP
in Chenab Valley HEPs – Connectivity System
(CKM-2, MVA-400)</t>
        </is>
      </c>
      <c r="P207" t="inlineStr">
        <is>
          <t>Dec-22</t>
        </is>
      </c>
      <c r="AB207" t="inlineStr">
        <is>
          <t>Apr-25</t>
        </is>
      </c>
      <c r="AC207" t="inlineStr">
        <is>
          <t>Dec - 25</t>
        </is>
      </c>
    </row>
    <row r="208">
      <c r="E208" t="inlineStr">
        <is>
          <t>LILO of one circuit of Kishenpur – Dulhasti 400 kV D/c at Kishtwar</t>
        </is>
      </c>
      <c r="P208" t="inlineStr">
        <is>
          <t>Dec-22</t>
        </is>
      </c>
      <c r="Q208" t="n">
        <v>3</v>
      </c>
      <c r="R208" t="n">
        <v>5</v>
      </c>
      <c r="S208" t="n">
        <v>5</v>
      </c>
      <c r="T208" t="n">
        <v>5</v>
      </c>
      <c r="U208" t="n">
        <v>2.8</v>
      </c>
      <c r="V208" t="n">
        <v>1</v>
      </c>
      <c r="W208" t="n">
        <v>1</v>
      </c>
      <c r="X208" t="n">
        <v>0.93</v>
      </c>
      <c r="AB208" t="inlineStr">
        <is>
          <t>Apr-25</t>
        </is>
      </c>
      <c r="AC208" t="inlineStr">
        <is>
          <t>Dec - 25</t>
        </is>
      </c>
      <c r="AD208" t="inlineStr">
        <is>
          <t>Deemed COD w.e.f 26.11.2025 as per TSA .</t>
        </is>
      </c>
    </row>
    <row r="209">
      <c r="E209" t="inlineStr">
        <is>
          <t>7x66.67 MVA, 400/132 kV Kishtwar</t>
        </is>
      </c>
      <c r="P209" t="inlineStr">
        <is>
          <t>Dec-22</t>
        </is>
      </c>
      <c r="Y209" t="inlineStr">
        <is>
          <t>100.00%</t>
        </is>
      </c>
      <c r="Z209" t="inlineStr">
        <is>
          <t>100.00%</t>
        </is>
      </c>
      <c r="AA209" t="inlineStr">
        <is>
          <t>100.00%</t>
        </is>
      </c>
      <c r="AB209" t="inlineStr">
        <is>
          <t>Apr-25</t>
        </is>
      </c>
      <c r="AC209" t="inlineStr">
        <is>
          <t>Dec - 25</t>
        </is>
      </c>
      <c r="AD209" t="inlineStr">
        <is>
          <t>Deemed COD declared for 400/132 kV pooling station at Kishtwar w.e.f
26.11.2025 as per TSA .
Total Land (32 Acres):
1. Pvt. (29.2 Acres): All acquired
2. Govt. (2.8 Acre Non-Forest): Indent given by JKPDD.</t>
        </is>
      </c>
    </row>
    <row r="210">
      <c r="E210" t="inlineStr">
        <is>
          <t>Transmission System for Evacuation of Power from REZ in
Rajasthan (20GW) under Phase-III Part G</t>
        </is>
      </c>
      <c r="P210" t="inlineStr">
        <is>
          <t>Aug-23</t>
        </is>
      </c>
      <c r="AB210" t="inlineStr">
        <is>
          <t>Feb-25</t>
        </is>
      </c>
      <c r="AC210" t="inlineStr">
        <is>
          <t>Jan - 26</t>
        </is>
      </c>
    </row>
    <row r="211">
      <c r="E211" t="inlineStr">
        <is>
          <t>Fatehgarh3– Beawar 765kV D/c (2nd)</t>
        </is>
      </c>
      <c r="P211" t="inlineStr">
        <is>
          <t>Aug-23</t>
        </is>
      </c>
      <c r="Q211" t="n">
        <v>635</v>
      </c>
      <c r="R211" t="n">
        <v>817</v>
      </c>
      <c r="S211" t="n">
        <v>815</v>
      </c>
      <c r="T211" t="n">
        <v>802</v>
      </c>
      <c r="U211" t="n">
        <v>458</v>
      </c>
      <c r="V211" t="n">
        <v>1</v>
      </c>
      <c r="W211" t="n">
        <v>0.98</v>
      </c>
      <c r="X211" t="n">
        <v>0.72</v>
      </c>
      <c r="AB211" t="inlineStr">
        <is>
          <t>Feb-25</t>
        </is>
      </c>
      <c r="AC211" t="inlineStr">
        <is>
          <t>Jan - 26</t>
        </is>
      </c>
      <c r="AD211" t="inlineStr">
        <is>
          <t>1. RoW (7 locs.) in Rajasthan: Barmer (4 locs.: 1 Foundation &amp; 3 Erection) &amp;
Balotra (3 locs.: 3 Erection).
2. Forest (11.35 Ha, 4 locs, 3.39 cKm) in Rajasthan: Stage II received on 29-08-
2025. Stage I received on 11-09-2024, WP received on 26-05-25 &amp; TCP recieved.</t>
        </is>
      </c>
    </row>
    <row r="212">
      <c r="E212" t="inlineStr">
        <is>
          <t>Transmission System for Evacuation of Power from REZ in
Rajasthan (20GW) under Phase-III Part F</t>
        </is>
      </c>
      <c r="P212" t="inlineStr">
        <is>
          <t>Sep-23</t>
        </is>
      </c>
      <c r="AB212" t="inlineStr">
        <is>
          <t>Mar-25</t>
        </is>
      </c>
      <c r="AC212" t="inlineStr">
        <is>
          <t>Mar - 26</t>
        </is>
      </c>
    </row>
    <row r="213">
      <c r="E213" t="inlineStr">
        <is>
          <t>Fatehgarh3– Beawar 765kV D/c</t>
        </is>
      </c>
      <c r="P213" t="inlineStr">
        <is>
          <t>Sep-23</t>
        </is>
      </c>
      <c r="Q213" t="n">
        <v>635</v>
      </c>
      <c r="R213" t="n">
        <v>806</v>
      </c>
      <c r="S213" t="n">
        <v>801</v>
      </c>
      <c r="T213" t="n">
        <v>726</v>
      </c>
      <c r="U213" t="n">
        <v>265</v>
      </c>
      <c r="V213" t="n">
        <v>0.99</v>
      </c>
      <c r="W213" t="n">
        <v>0.9</v>
      </c>
      <c r="X213" t="n">
        <v>0.42</v>
      </c>
      <c r="AB213" t="inlineStr">
        <is>
          <t>Mar-25</t>
        </is>
      </c>
      <c r="AC213" t="inlineStr">
        <is>
          <t>Mar - 26</t>
        </is>
      </c>
      <c r="AD213" t="inlineStr">
        <is>
          <t>1.RoW (24 locs.) in Rajasthan: Barmer (8 locs.: 3 Foundation &amp; 5 Erection) &amp;
Balotra (16 locs.: 16 Erection).
2. Forest (10.89 Ha, 4 locs, 3.26 cKm) in Rajasthan: Stage II awaited. WP recieved
on 16-06-25. Stage I received on 05-07-2024.</t>
        </is>
      </c>
    </row>
    <row r="214">
      <c r="E214" t="inlineStr">
        <is>
          <t>LILO of both circuits of Ajmer – Chittorgarh 765 kV D/c at Beawar</t>
        </is>
      </c>
      <c r="P214" t="inlineStr">
        <is>
          <t>Sep-23</t>
        </is>
      </c>
      <c r="Q214" t="n">
        <v>136</v>
      </c>
      <c r="R214" t="n">
        <v>178</v>
      </c>
      <c r="S214" t="n">
        <v>175</v>
      </c>
      <c r="T214" t="n">
        <v>168</v>
      </c>
      <c r="U214" t="n">
        <v>48</v>
      </c>
      <c r="V214" t="n">
        <v>0.98</v>
      </c>
      <c r="W214" t="n">
        <v>0.9399999999999999</v>
      </c>
      <c r="X214" t="n">
        <v>0.35</v>
      </c>
      <c r="AB214" t="inlineStr">
        <is>
          <t>Mar-25</t>
        </is>
      </c>
      <c r="AC214" t="inlineStr">
        <is>
          <t>Mar - 26</t>
        </is>
      </c>
      <c r="AD214" t="inlineStr">
        <is>
          <t>1. Forest (22.66 Ha, 7 locs, 6.76 cKm) in Rajasthan: Stage II awaited. WP received
on 13-05-25 &amp; TCP received on 20-05-25. Stage I received on 05-11-2024.
2. PLC Approval pending with M/s Shree Cement.since mar'24.</t>
        </is>
      </c>
    </row>
    <row r="215">
      <c r="E215" t="inlineStr">
        <is>
          <t>LILO of of Kota – Merta 400 kV D/c at Beawar</t>
        </is>
      </c>
      <c r="P215" t="inlineStr">
        <is>
          <t>Sep-23</t>
        </is>
      </c>
      <c r="Q215" t="n">
        <v>66</v>
      </c>
      <c r="R215" t="n">
        <v>90</v>
      </c>
      <c r="S215" t="n">
        <v>89</v>
      </c>
      <c r="T215" t="n">
        <v>81</v>
      </c>
      <c r="U215" t="n">
        <v>28</v>
      </c>
      <c r="V215" t="n">
        <v>0.99</v>
      </c>
      <c r="W215" t="n">
        <v>0.9</v>
      </c>
      <c r="X215" t="n">
        <v>0.42</v>
      </c>
      <c r="AB215" t="inlineStr">
        <is>
          <t>Mar-25</t>
        </is>
      </c>
      <c r="AC215" t="inlineStr">
        <is>
          <t>Mar - 26</t>
        </is>
      </c>
      <c r="AD215" t="inlineStr">
        <is>
          <t>1. PLC Approval pending with M/s Shree Cement since Mar'24..
2. Delay in replacement of existing earth wire with OPGW in Kota -Merta TL by
PGCIL. .</t>
        </is>
      </c>
    </row>
    <row r="216">
      <c r="E216" t="inlineStr">
        <is>
          <t>2X1500MVA , 765/400kV Beawar S/s</t>
        </is>
      </c>
      <c r="P216" t="inlineStr">
        <is>
          <t>Sep-23</t>
        </is>
      </c>
      <c r="Y216" t="inlineStr">
        <is>
          <t>98.00%</t>
        </is>
      </c>
      <c r="Z216" t="inlineStr">
        <is>
          <t>100.00%</t>
        </is>
      </c>
      <c r="AA216" t="inlineStr">
        <is>
          <t>94.00%</t>
        </is>
      </c>
      <c r="AB216" t="inlineStr">
        <is>
          <t>Mar-25</t>
        </is>
      </c>
      <c r="AC216" t="inlineStr">
        <is>
          <t>Jan - 26</t>
        </is>
      </c>
      <c r="AD216" t="inlineStr">
        <is>
          <t>Total Land (58.28 Ha): Govt. Land (12.32 Ha) &amp; Pvt. Land (45.96 Ha) : All acquired</t>
        </is>
      </c>
    </row>
    <row r="217">
      <c r="E217" t="inlineStr">
        <is>
          <t>(+/-)2x300 MVAr Statcom, 4x125 MVAr MSC, 2x125 MVAr MSR at
Fatehgarh-III PS</t>
        </is>
      </c>
      <c r="P217" t="inlineStr">
        <is>
          <t>Sep-23</t>
        </is>
      </c>
      <c r="Y217" t="inlineStr">
        <is>
          <t>98.00%</t>
        </is>
      </c>
      <c r="Z217" t="inlineStr">
        <is>
          <t>100.00%</t>
        </is>
      </c>
      <c r="AA217" t="inlineStr">
        <is>
          <t>75.00%</t>
        </is>
      </c>
      <c r="AB217" t="inlineStr">
        <is>
          <t>Sep-25</t>
        </is>
      </c>
      <c r="AC217" t="inlineStr">
        <is>
          <t>Mar - 26</t>
        </is>
      </c>
    </row>
    <row r="218">
      <c r="E218" t="inlineStr">
        <is>
          <t>Transmission system for evacuation of power from
Rajasthan REZ Ph-IV (Part-1) (Bikaner Complex): PART-B</t>
        </is>
      </c>
      <c r="P218" t="inlineStr">
        <is>
          <t>Dec-23</t>
        </is>
      </c>
      <c r="AB218" t="inlineStr">
        <is>
          <t>Dec-25</t>
        </is>
      </c>
      <c r="AC218" t="inlineStr">
        <is>
          <t>Aug - 26</t>
        </is>
      </c>
    </row>
    <row r="219">
      <c r="E219" t="inlineStr">
        <is>
          <t>Establishment of 765/400 kV, 4x1500 MVA (along with one spare
unit of 500 MVA) Neemrana-II S/s</t>
        </is>
      </c>
      <c r="P219" t="inlineStr">
        <is>
          <t>Dec-23</t>
        </is>
      </c>
      <c r="Y219" t="inlineStr">
        <is>
          <t>0.46%</t>
        </is>
      </c>
      <c r="Z219" t="inlineStr">
        <is>
          <t>78.50%</t>
        </is>
      </c>
      <c r="AA219" t="inlineStr">
        <is>
          <t>0.00%</t>
        </is>
      </c>
      <c r="AB219" t="inlineStr">
        <is>
          <t>Dec-25</t>
        </is>
      </c>
      <c r="AC219" t="inlineStr">
        <is>
          <t>Aug - 26</t>
        </is>
      </c>
      <c r="AD219" t="inlineStr">
        <is>
          <t>1. Total Land (57.96 Ha All private): Pending 39.98 Ha</t>
        </is>
      </c>
    </row>
    <row r="220">
      <c r="E220" t="inlineStr">
        <is>
          <t>Neemrana-II -Kotputli 400 kV D/c line (Quad)</t>
        </is>
      </c>
      <c r="P220" t="inlineStr">
        <is>
          <t>Dec-23</t>
        </is>
      </c>
      <c r="Q220" t="n">
        <v>87</v>
      </c>
      <c r="R220" t="n">
        <v>126</v>
      </c>
      <c r="S220" t="n">
        <v>107</v>
      </c>
      <c r="T220" t="n">
        <v>92</v>
      </c>
      <c r="U220" t="n">
        <v>40</v>
      </c>
      <c r="V220" t="n">
        <v>0.85</v>
      </c>
      <c r="W220" t="n">
        <v>0.73</v>
      </c>
      <c r="X220" t="n">
        <v>0.46</v>
      </c>
      <c r="AB220" t="inlineStr">
        <is>
          <t>Dec-25</t>
        </is>
      </c>
      <c r="AC220" t="inlineStr">
        <is>
          <t>Aug - 26</t>
        </is>
      </c>
      <c r="AD220" t="inlineStr">
        <is>
          <t>1.RoW (10 locs.) in Rajasthan: Kotputli-Behror (10 locs.).
2. Forest (8.39 Ha, 6 locs, 7.09 cKm ) in Rajasthan. Stage II awaited. Stage I
received on 14-08-2025.</t>
        </is>
      </c>
    </row>
    <row r="221">
      <c r="E221" t="inlineStr">
        <is>
          <t>LILO of both ckts of 400 kV Gurgaon (PG) - Sohna Road (GPTL) D/c
line (Quad) at Neemrana-II S/s</t>
        </is>
      </c>
      <c r="P221" t="inlineStr">
        <is>
          <t>Dec-23</t>
        </is>
      </c>
      <c r="Q221" t="n">
        <v>395</v>
      </c>
      <c r="R221" t="n">
        <v>517</v>
      </c>
      <c r="S221" t="n">
        <v>429</v>
      </c>
      <c r="T221" t="n">
        <v>306</v>
      </c>
      <c r="U221" t="n">
        <v>34.2</v>
      </c>
      <c r="V221" t="n">
        <v>0.83</v>
      </c>
      <c r="W221" t="n">
        <v>0.59</v>
      </c>
      <c r="X221" t="n">
        <v>0.09</v>
      </c>
      <c r="AB221" t="inlineStr">
        <is>
          <t>Dec-25</t>
        </is>
      </c>
      <c r="AC221" t="inlineStr">
        <is>
          <t>Aug - 26</t>
        </is>
      </c>
      <c r="AD221" t="inlineStr">
        <is>
          <t>1. RoW (7 locs.) in Rajasthan: Khairthal-Tijara (7 locs) .
2. RoW (2 locs.) in Haryana: Nuh (2 locs).
3. Forest (22.86 Ha, 14 locs, 11.47 cKm) in Haryana: Stage I is awaited.
Recommended in PSC-II dated 18-08-25 . Applied on 30-03-2024.
4. Forest (21.77 Ha, 17 locs, 19.66 cKm) in Rajasthan:Stage I received on 14-08-
2025.</t>
        </is>
      </c>
    </row>
    <row r="222">
      <c r="E222" t="inlineStr">
        <is>
          <t>Transmission System for Evacuation of Power from potential
renewable energy zone in Khavda area of Gujarat under Phase-IV
(7 GW): Part C</t>
        </is>
      </c>
      <c r="P222" t="inlineStr">
        <is>
          <t>Aug-24</t>
        </is>
      </c>
      <c r="AB222" t="inlineStr">
        <is>
          <t>Oct-26</t>
        </is>
      </c>
      <c r="AC222" t="inlineStr">
        <is>
          <t>Oct - 26</t>
        </is>
      </c>
    </row>
    <row r="223">
      <c r="E223" t="inlineStr">
        <is>
          <t>Establishment of 4x1500 MVA, 765/400 kV &amp; 2x500 MVA, 400/220
kV Boisar-II (GIS) S/s</t>
        </is>
      </c>
      <c r="P223" t="inlineStr">
        <is>
          <t>Aug-24</t>
        </is>
      </c>
      <c r="Y223" t="inlineStr">
        <is>
          <t>30.00%</t>
        </is>
      </c>
      <c r="Z223" t="inlineStr">
        <is>
          <t>44.10%</t>
        </is>
      </c>
      <c r="AA223" t="inlineStr">
        <is>
          <t>0.00%</t>
        </is>
      </c>
      <c r="AB223" t="inlineStr">
        <is>
          <t>Oct-26</t>
        </is>
      </c>
      <c r="AC223" t="inlineStr">
        <is>
          <t>Oct - 26</t>
        </is>
      </c>
      <c r="AD223" t="inlineStr">
        <is>
          <t>Total land (142 Acres): Pending 52 Acres.
Pvt. (90 Acres): All acquired
Forest (52 Acres): Pending 52 Acre, Applied 06-06-2025.</t>
        </is>
      </c>
    </row>
    <row r="224">
      <c r="E224" t="inlineStr">
        <is>
          <t>South Olpad (GIS) – Boisar-II (GIS) 765 kV D/c line</t>
        </is>
      </c>
      <c r="P224" t="inlineStr">
        <is>
          <t>Aug-24</t>
        </is>
      </c>
      <c r="Q224" t="n">
        <v>475</v>
      </c>
      <c r="R224" t="n">
        <v>626</v>
      </c>
      <c r="S224" t="n">
        <v>240</v>
      </c>
      <c r="T224" t="n">
        <v>49</v>
      </c>
      <c r="U224" t="n">
        <v>0</v>
      </c>
      <c r="V224" t="n">
        <v>0.38</v>
      </c>
      <c r="W224" t="n">
        <v>0.08</v>
      </c>
      <c r="X224" t="n">
        <v>0</v>
      </c>
      <c r="AB224" t="inlineStr">
        <is>
          <t>Oct-26</t>
        </is>
      </c>
      <c r="AC224" t="inlineStr">
        <is>
          <t>Oct - 26</t>
        </is>
      </c>
      <c r="AD224" t="inlineStr">
        <is>
          <t>1. RoW (126 locs.) in Gujarat: Olpad tehsil (51), Mangrol (6), Mandvi (7), Kamrej
(31), Bardoli (22), Mahuva (2), Chikhli Taluka (7)
2. RoW (02 locs.) in Maharashtra: Palghar (2 locs)
3. Delay in Allocation of Space/Land for establishment of 2 Nos. of 765 kV line
bays at south Olpad S/s due to non-finalisation of South Olpad S/s location by
PGCIL.
4. PLC approval pending from PGCIL in Gujarat portion.
6. Forest (134.15 Ha, 51 locs., 40 ckm) in Gujarat
7. Forest (180.37 Ha, 61 locs., 50 ckm) in Maharashtra - Accepted in PSC-1 on 07-
04-2025, Tree enumeration completed. File is with DFO for part 2 processing.
8. Forest (8.49 Ha) in DNH: Stage-I approval pending</t>
        </is>
      </c>
    </row>
    <row r="225">
      <c r="E225" t="inlineStr">
        <is>
          <t>Boisar-II (Sec-II) – Velgaon (MH) 400 kV D/c line</t>
        </is>
      </c>
      <c r="P225" t="inlineStr">
        <is>
          <t>Aug-24</t>
        </is>
      </c>
      <c r="Q225" t="n">
        <v>50</v>
      </c>
      <c r="R225" t="n">
        <v>74</v>
      </c>
      <c r="S225" t="n">
        <v>4</v>
      </c>
      <c r="T225" t="n">
        <v>0</v>
      </c>
      <c r="U225" t="n">
        <v>0</v>
      </c>
      <c r="V225" t="n">
        <v>0.05</v>
      </c>
      <c r="W225" t="n">
        <v>0</v>
      </c>
      <c r="X225" t="n">
        <v>0</v>
      </c>
      <c r="AB225" t="inlineStr">
        <is>
          <t>Oct-26</t>
        </is>
      </c>
      <c r="AC225" t="inlineStr">
        <is>
          <t>Oct - 26</t>
        </is>
      </c>
      <c r="AD225" t="inlineStr">
        <is>
          <t>1. RoW (4 locs.) in Maharashtra: Palghar (4)
2. Forest (62.5 Ha, 35 locs., 27.17 ckm) in Maharashtra. Stage I awaited, applied
on 07-03-25. PSC-1 accepted on 12-08-2025.
3. 16 locs and 10 Kms of route length are on hold due to non-finalization of S/S
land by MSETCL.</t>
        </is>
      </c>
    </row>
    <row r="226">
      <c r="E226" t="inlineStr">
        <is>
          <t>LILO of Babhaleswar – Padghe (M) 400 kV D/c line at Boisar-II (Sec-I)</t>
        </is>
      </c>
      <c r="P226" t="inlineStr">
        <is>
          <t>Aug-24</t>
        </is>
      </c>
      <c r="Q226" t="n">
        <v>116</v>
      </c>
      <c r="R226" t="n">
        <v>174</v>
      </c>
      <c r="S226" t="n">
        <v>29</v>
      </c>
      <c r="T226" t="n">
        <v>3</v>
      </c>
      <c r="U226" t="n">
        <v>0</v>
      </c>
      <c r="V226" t="n">
        <v>0.17</v>
      </c>
      <c r="W226" t="n">
        <v>0.02</v>
      </c>
      <c r="X226" t="n">
        <v>0</v>
      </c>
      <c r="AB226" t="inlineStr">
        <is>
          <t>Oct-26</t>
        </is>
      </c>
      <c r="AC226" t="inlineStr">
        <is>
          <t>Oct - 26</t>
        </is>
      </c>
      <c r="AD226" t="inlineStr">
        <is>
          <t>1. RoW (51 locs.) in Maharashtra: Palghar District (6), Thane District(45)
2. PLC approval between AP 78/0 – 79/0 pending with PGCIL.
3. Forest (66.02 Ha, 46 locs, 28.7 ckm) in Maharashtra: Stage-I awaited. CCF visit
done on 27-11-25.</t>
        </is>
      </c>
    </row>
    <row r="227">
      <c r="E227" t="inlineStr">
        <is>
          <t>± 300 MVAR STATCOM with 3x125 MVAR MSC, 1x125 MVAR MSR at
400 kV level of Navsari (New) (PG) S/s</t>
        </is>
      </c>
      <c r="P227" t="inlineStr">
        <is>
          <t>Aug-24</t>
        </is>
      </c>
      <c r="Y227" t="inlineStr">
        <is>
          <t>34.59%</t>
        </is>
      </c>
      <c r="Z227" t="inlineStr">
        <is>
          <t>36.90%</t>
        </is>
      </c>
      <c r="AA227" t="inlineStr">
        <is>
          <t>0.00%</t>
        </is>
      </c>
      <c r="AB227" t="inlineStr">
        <is>
          <t>Oct-26</t>
        </is>
      </c>
      <c r="AC227" t="inlineStr">
        <is>
          <t>Oct - 26</t>
        </is>
      </c>
    </row>
    <row r="228">
      <c r="E228" t="inlineStr">
        <is>
          <t>±200 MVAR STATCOM with 2x125 MVAR MSC, 1x125 MVAR MSR at
400 kV bus section-I of Boisar-II and ±200 MVAR STATCOM with
2x125 MVAR MSC, 1x125 MVAR MSR at 400 kV bus section-II of
Boisar-II.</t>
        </is>
      </c>
      <c r="P228" t="inlineStr">
        <is>
          <t>Aug-24</t>
        </is>
      </c>
      <c r="Y228" t="inlineStr">
        <is>
          <t>7.90%</t>
        </is>
      </c>
      <c r="Z228" t="inlineStr">
        <is>
          <t>35.70%</t>
        </is>
      </c>
      <c r="AA228" t="inlineStr">
        <is>
          <t>0.00%</t>
        </is>
      </c>
      <c r="AB228" t="inlineStr">
        <is>
          <t>Oct-26</t>
        </is>
      </c>
      <c r="AC228" t="inlineStr">
        <is>
          <t>Oct - 26</t>
        </is>
      </c>
    </row>
    <row r="229">
      <c r="E229" t="inlineStr">
        <is>
          <t>LILO of Navsari (New) – Padghe (PG) 765 kV D/c line at Boisar-II</t>
        </is>
      </c>
      <c r="P229" t="inlineStr">
        <is>
          <t>Aug-24</t>
        </is>
      </c>
      <c r="Q229" t="n">
        <v>51</v>
      </c>
      <c r="R229" t="n">
        <v>74</v>
      </c>
      <c r="S229" t="n">
        <v>41</v>
      </c>
      <c r="T229" t="n">
        <v>9</v>
      </c>
      <c r="U229" t="n">
        <v>0</v>
      </c>
      <c r="V229" t="n">
        <v>0.55</v>
      </c>
      <c r="W229" t="n">
        <v>0.12</v>
      </c>
      <c r="X229" t="n">
        <v>0</v>
      </c>
      <c r="AB229" t="inlineStr">
        <is>
          <t>Oct-26</t>
        </is>
      </c>
      <c r="AC229" t="inlineStr">
        <is>
          <t>Oct - 26</t>
        </is>
      </c>
      <c r="AD229" t="inlineStr">
        <is>
          <t>Forest: (38.94 Ha, 18 Locs, 12.68 cKm) in Maharashtra. Stage 1 awaited. applied
on 19-01-2025. EDS rasied, A/p resubmitted on 02-04-2025. PSC 1 accepted on 07-
04-2025.</t>
        </is>
      </c>
    </row>
    <row r="230">
      <c r="E230" t="inlineStr">
        <is>
          <t>Transmission System for Integration of Ananthapur-II REZ - Phase-
I (for 4.5 GW) (SPV:ANANTHAPUR II REZ TRANSMISSION LIMITED)</t>
        </is>
      </c>
      <c r="P230" t="inlineStr">
        <is>
          <t>Mar-25</t>
        </is>
      </c>
      <c r="AB230" t="inlineStr">
        <is>
          <t>Mar-27</t>
        </is>
      </c>
      <c r="AC230" t="inlineStr">
        <is>
          <t>Mar - 27</t>
        </is>
      </c>
    </row>
    <row r="231">
      <c r="E231" t="inlineStr">
        <is>
          <t>Establishment of 4x1500 MVA, 765/400 &amp; 6x500 MVA, 400/220 kV
Ananthapuram- II Pooling Station near Kurnool, Andhra Pradesh</t>
        </is>
      </c>
      <c r="P231" t="inlineStr">
        <is>
          <t>Mar-25</t>
        </is>
      </c>
      <c r="Y231" t="inlineStr">
        <is>
          <t>0.00%</t>
        </is>
      </c>
      <c r="Z231" t="inlineStr">
        <is>
          <t>22.00%</t>
        </is>
      </c>
      <c r="AA231" t="inlineStr">
        <is>
          <t>0.00%</t>
        </is>
      </c>
      <c r="AB231" t="inlineStr">
        <is>
          <t>Mar-27</t>
        </is>
      </c>
      <c r="AC231" t="inlineStr">
        <is>
          <t>Mar - 27</t>
        </is>
      </c>
      <c r="AD231" t="inlineStr">
        <is>
          <t>Present Scope: 238 Ha
Acquired Land: 193 Ha</t>
        </is>
      </c>
    </row>
    <row r="232">
      <c r="E232" t="inlineStr">
        <is>
          <t>Ananthapuram- II - Davangere 765 kV D/c line</t>
        </is>
      </c>
      <c r="P232" t="inlineStr">
        <is>
          <t>Mar-25</t>
        </is>
      </c>
      <c r="Q232" t="n">
        <v>236</v>
      </c>
      <c r="R232" t="n">
        <v>236</v>
      </c>
      <c r="S232" t="n">
        <v>54</v>
      </c>
      <c r="T232" t="n">
        <v>1</v>
      </c>
      <c r="U232" t="n">
        <v>0</v>
      </c>
      <c r="V232" t="n">
        <v>0.23</v>
      </c>
      <c r="W232" t="n">
        <v>0</v>
      </c>
      <c r="X232" t="n">
        <v>0</v>
      </c>
      <c r="AB232" t="inlineStr">
        <is>
          <t>Mar-27</t>
        </is>
      </c>
      <c r="AC232" t="inlineStr">
        <is>
          <t>Mar - 27</t>
        </is>
      </c>
      <c r="AD232" t="inlineStr">
        <is>
          <t>1. Delay in handover of critical D&amp;E inputs of Davanagere S/s by PGCIL for route
finalisation and construction of 2 nos. 765 kV line bays at the Davanagere S/s .
2. RoW (6 locs.) in Andhra Pradesh: Ananthpuram (6 locs.)</t>
        </is>
      </c>
    </row>
    <row r="233">
      <c r="E233" t="inlineStr">
        <is>
          <t>Ananthapuram- II - Cuddapah 765 kV D/c line</t>
        </is>
      </c>
      <c r="P233" t="inlineStr">
        <is>
          <t>Mar-25</t>
        </is>
      </c>
      <c r="Q233" t="n">
        <v>565</v>
      </c>
      <c r="R233" t="n">
        <v>565</v>
      </c>
      <c r="S233" t="n">
        <v>258</v>
      </c>
      <c r="T233" t="n">
        <v>4</v>
      </c>
      <c r="U233" t="n">
        <v>0</v>
      </c>
      <c r="V233" t="n">
        <v>0.46</v>
      </c>
      <c r="W233" t="n">
        <v>0.01</v>
      </c>
      <c r="X233" t="n">
        <v>0</v>
      </c>
      <c r="AB233" t="inlineStr">
        <is>
          <t>Mar-27</t>
        </is>
      </c>
      <c r="AC233" t="inlineStr">
        <is>
          <t>Mar - 27</t>
        </is>
      </c>
      <c r="AD233" t="inlineStr">
        <is>
          <t>RoW (50 locs.) in Andhra Pradesh: Ananthpuram (44 locs.) &amp; Y S R Kadapa (6 locs.)</t>
        </is>
      </c>
    </row>
    <row r="234">
      <c r="E234" t="inlineStr">
        <is>
          <t>±300 MVAr STATCOM at Ananthapuram-II PS along with 2x125
MVAr MSR</t>
        </is>
      </c>
      <c r="P234" t="inlineStr">
        <is>
          <t>Mar-25</t>
        </is>
      </c>
      <c r="Y234" t="inlineStr">
        <is>
          <t>0.00%</t>
        </is>
      </c>
      <c r="Z234" t="inlineStr">
        <is>
          <t>10.27%</t>
        </is>
      </c>
      <c r="AB234" t="inlineStr">
        <is>
          <t>Mar-27</t>
        </is>
      </c>
      <c r="AC234" t="inlineStr">
        <is>
          <t>Mar - 27</t>
        </is>
      </c>
    </row>
    <row r="235">
      <c r="E235" t="inlineStr">
        <is>
          <t>North-Eastern Region Expansion Scheme-XXV Part-A (NERES)</t>
        </is>
      </c>
      <c r="P235" t="inlineStr">
        <is>
          <t>Jul-25</t>
        </is>
      </c>
      <c r="AB235" t="inlineStr">
        <is>
          <t>Jul-28</t>
        </is>
      </c>
      <c r="AC235" t="inlineStr">
        <is>
          <t>Jul - 28</t>
        </is>
      </c>
    </row>
    <row r="236">
      <c r="E236" t="inlineStr">
        <is>
          <t>LILO of both circuits of existing Bongaigaon (POWERGRID) – Balipara
(POWERGRID) 400 kV D/C (Quad) line at Bornagar (ISTS)</t>
        </is>
      </c>
      <c r="P236" t="inlineStr">
        <is>
          <t>Jul-25</t>
        </is>
      </c>
      <c r="Q236" t="n">
        <v>54</v>
      </c>
      <c r="R236" t="n">
        <v>85</v>
      </c>
      <c r="S236" t="n">
        <v>0</v>
      </c>
      <c r="T236" t="n">
        <v>0</v>
      </c>
      <c r="U236" t="n">
        <v>0</v>
      </c>
      <c r="V236" t="n">
        <v>0</v>
      </c>
      <c r="W236" t="n">
        <v>0</v>
      </c>
      <c r="X236" t="n">
        <v>0</v>
      </c>
      <c r="AB236" t="inlineStr">
        <is>
          <t>Jul-28</t>
        </is>
      </c>
      <c r="AC236" t="inlineStr">
        <is>
          <t>Jul - 28</t>
        </is>
      </c>
    </row>
    <row r="237">
      <c r="E237" t="inlineStr">
        <is>
          <t>Establishment of new 400 kV Bornagar (ISTS) switching station in
Assam (765 kV and 220 kV levels to be established in future)</t>
        </is>
      </c>
      <c r="P237" t="inlineStr">
        <is>
          <t>Jul-25</t>
        </is>
      </c>
      <c r="Y237" t="inlineStr">
        <is>
          <t>0.00%</t>
        </is>
      </c>
      <c r="Z237" t="inlineStr">
        <is>
          <t>0.00%</t>
        </is>
      </c>
      <c r="AA237" t="inlineStr">
        <is>
          <t>0.00%</t>
        </is>
      </c>
      <c r="AB237" t="inlineStr">
        <is>
          <t>Jul-28</t>
        </is>
      </c>
      <c r="AC237" t="inlineStr">
        <is>
          <t>Jul - 28</t>
        </is>
      </c>
    </row>
    <row r="238">
      <c r="E238" t="inlineStr">
        <is>
          <t>Immediate evacuation for North Karanpura (3x660MW)
generation project of NTPC(ERSS XIX)
(CKM-303, MVA-1000)</t>
        </is>
      </c>
      <c r="P238" t="inlineStr">
        <is>
          <t>Jul-16</t>
        </is>
      </c>
      <c r="AB238" t="inlineStr">
        <is>
          <t>Sep-19</t>
        </is>
      </c>
      <c r="AC238" t="inlineStr">
        <is>
          <t>Dec - 25</t>
        </is>
      </c>
    </row>
    <row r="239">
      <c r="E239" t="inlineStr">
        <is>
          <t>NK – Gaya 400kV D/c line</t>
        </is>
      </c>
      <c r="P239" t="inlineStr">
        <is>
          <t>Jul-16</t>
        </is>
      </c>
      <c r="Q239" t="n">
        <v>196</v>
      </c>
      <c r="R239" t="n">
        <v>285</v>
      </c>
      <c r="S239" t="n">
        <v>285</v>
      </c>
      <c r="T239" t="n">
        <v>285</v>
      </c>
      <c r="U239" t="n">
        <v>196.4</v>
      </c>
      <c r="V239" t="n">
        <v>1</v>
      </c>
      <c r="W239" t="n">
        <v>1</v>
      </c>
      <c r="X239" t="n">
        <v>1</v>
      </c>
      <c r="AB239" t="inlineStr">
        <is>
          <t>Sep-19</t>
        </is>
      </c>
      <c r="AC239" t="inlineStr">
        <is>
          <t>Dec - 25</t>
        </is>
      </c>
    </row>
    <row r="240">
      <c r="E240" t="inlineStr">
        <is>
          <t>NK – Chandwa 400kV D/c line</t>
        </is>
      </c>
      <c r="P240" t="inlineStr">
        <is>
          <t>Jul-16</t>
        </is>
      </c>
      <c r="R240" t="n">
        <v>115</v>
      </c>
      <c r="V240" t="n">
        <v>0</v>
      </c>
      <c r="W240" t="n">
        <v>0</v>
      </c>
      <c r="AB240" t="inlineStr">
        <is>
          <t>Sep-19</t>
        </is>
      </c>
      <c r="AC240" t="inlineStr">
        <is>
          <t>Oct - 22</t>
        </is>
      </c>
      <c r="AD240" t="inlineStr">
        <is>
          <t>Line charged</t>
        </is>
      </c>
    </row>
    <row r="241">
      <c r="E241" t="inlineStr">
        <is>
          <t>LILO of both circuits of Ranchi – Maithon-RB 400kV D/c line at
Dhanbad</t>
        </is>
      </c>
      <c r="P241" t="inlineStr">
        <is>
          <t>Jul-16</t>
        </is>
      </c>
      <c r="R241" t="n">
        <v>10</v>
      </c>
      <c r="V241" t="n">
        <v>0</v>
      </c>
      <c r="W241" t="n">
        <v>0</v>
      </c>
      <c r="AB241" t="inlineStr">
        <is>
          <t>Sep-19</t>
        </is>
      </c>
      <c r="AC241" t="inlineStr">
        <is>
          <t>Aug - 21</t>
        </is>
      </c>
      <c r="AD241" t="inlineStr">
        <is>
          <t>Line charged</t>
        </is>
      </c>
    </row>
    <row r="242">
      <c r="E242" t="inlineStr">
        <is>
          <t>400/220 kV, 2x500 MVA Dhanbad</t>
        </is>
      </c>
      <c r="P242" t="inlineStr">
        <is>
          <t>Jul-16</t>
        </is>
      </c>
      <c r="AB242" t="inlineStr">
        <is>
          <t>Sep-19</t>
        </is>
      </c>
      <c r="AC242" t="inlineStr">
        <is>
          <t>Aug - 21</t>
        </is>
      </c>
      <c r="AD242" t="inlineStr">
        <is>
          <t>Substation Charged</t>
        </is>
      </c>
    </row>
    <row r="243">
      <c r="E243" t="inlineStr">
        <is>
          <t>ISTS Network Expansion scheme in Western Region &amp; Southern
Region for export of surplus power during high RE scenario in
Southern Region</t>
        </is>
      </c>
      <c r="P243" t="inlineStr">
        <is>
          <t>Jan-23</t>
        </is>
      </c>
      <c r="AB243" t="inlineStr">
        <is>
          <t>Jul-24</t>
        </is>
      </c>
      <c r="AC243" t="inlineStr">
        <is>
          <t>Mar - 26</t>
        </is>
      </c>
    </row>
    <row r="244">
      <c r="E244" t="inlineStr">
        <is>
          <t>Narendra New (GIS) – Pune (GIS) 765 D/c Line</t>
        </is>
      </c>
      <c r="P244" t="inlineStr">
        <is>
          <t>Jan-23</t>
        </is>
      </c>
      <c r="Q244" t="n">
        <v>636</v>
      </c>
      <c r="R244" t="n">
        <v>795</v>
      </c>
      <c r="S244" t="n">
        <v>663</v>
      </c>
      <c r="T244" t="n">
        <v>523</v>
      </c>
      <c r="U244" t="n">
        <v>133.2</v>
      </c>
      <c r="V244" t="n">
        <v>0.83</v>
      </c>
      <c r="W244" t="n">
        <v>0.66</v>
      </c>
      <c r="X244" t="n">
        <v>0.21</v>
      </c>
      <c r="AB244" t="inlineStr">
        <is>
          <t>Jul-24</t>
        </is>
      </c>
      <c r="AC244" t="inlineStr">
        <is>
          <t>Mar - 26</t>
        </is>
      </c>
      <c r="AD244" t="inlineStr">
        <is>
          <t>RoW (88 loc) :
a) Pune District (46) in Maharashtra.
b) Vijaypura District (40) in Karnataka. 40 locations affected near Kudgi end.
Forest (76.87 Ha, 29 loc)- Proposal recommended in PSC-II conducted on 12-Aug-
25. MoM &amp; NO clearance received on 12-Sep-25. Proposal forwarded from SG to
IRO on 11-Nov-25. Proposal awaiting recommendation in REC meeting.</t>
        </is>
      </c>
    </row>
    <row r="245">
      <c r="E245" t="inlineStr">
        <is>
          <t>Upgradation of Narendra New (GIS) Substation to rated voltage level
of 765 kV alongwith 4x1500 MVA transformer</t>
        </is>
      </c>
      <c r="P245" t="inlineStr">
        <is>
          <t>Jan-23</t>
        </is>
      </c>
      <c r="Y245" t="inlineStr">
        <is>
          <t>97.50%</t>
        </is>
      </c>
      <c r="Z245" t="inlineStr">
        <is>
          <t>100.00%</t>
        </is>
      </c>
      <c r="AA245" t="inlineStr">
        <is>
          <t>96.00%</t>
        </is>
      </c>
      <c r="AB245" t="inlineStr">
        <is>
          <t>Jul-24</t>
        </is>
      </c>
      <c r="AC245" t="inlineStr">
        <is>
          <t>Mar - 26</t>
        </is>
      </c>
      <c r="AD245" t="inlineStr">
        <is>
          <t>Outdoor and indoor GIB along with GAB WIP
HV Testing has been completed for Pune SS And Narendra SS HV testing under
initiation</t>
        </is>
      </c>
    </row>
    <row r="246">
      <c r="E246" t="inlineStr">
        <is>
          <t>Transmission System for evacuation of additional 7 GW RE Power
from Khavda RE Park under Phase-III Part A</t>
        </is>
      </c>
      <c r="P246" t="inlineStr">
        <is>
          <t>Dec-23</t>
        </is>
      </c>
      <c r="AB246" t="inlineStr">
        <is>
          <t>Dec-25</t>
        </is>
      </c>
      <c r="AC246" t="inlineStr">
        <is>
          <t>Mar - 26</t>
        </is>
      </c>
    </row>
    <row r="247">
      <c r="E247" t="inlineStr">
        <is>
          <t>Establishment of 765 kV Halvad switching station with 765 kV, 2x330
MVAr bus reactors</t>
        </is>
      </c>
      <c r="P247" t="inlineStr">
        <is>
          <t>Dec-23</t>
        </is>
      </c>
      <c r="Y247" t="inlineStr">
        <is>
          <t>97.00%</t>
        </is>
      </c>
      <c r="Z247" t="inlineStr">
        <is>
          <t>97.00%</t>
        </is>
      </c>
      <c r="AA247" t="inlineStr">
        <is>
          <t>80.00%</t>
        </is>
      </c>
      <c r="AB247" t="inlineStr">
        <is>
          <t>Dec-25</t>
        </is>
      </c>
      <c r="AC247" t="inlineStr">
        <is>
          <t>Mar - 26</t>
        </is>
      </c>
      <c r="AD247" t="inlineStr">
        <is>
          <t>Land required: 205 Acre (Present scope acquisition completed)
Pvt. land (197): Aquired (183)
Govt. land (8): Acquired (8)</t>
        </is>
      </c>
    </row>
    <row r="248">
      <c r="E248" t="inlineStr">
        <is>
          <t>KPS2(GIS) - Halvad 765 kV D/c line</t>
        </is>
      </c>
      <c r="P248" t="inlineStr">
        <is>
          <t>Dec-23</t>
        </is>
      </c>
      <c r="Q248" t="n">
        <v>492</v>
      </c>
      <c r="R248" t="n">
        <v>690</v>
      </c>
      <c r="S248" t="n">
        <v>536</v>
      </c>
      <c r="T248" t="n">
        <v>400</v>
      </c>
      <c r="U248" t="n">
        <v>125</v>
      </c>
      <c r="V248" t="n">
        <v>0.78</v>
      </c>
      <c r="W248" t="n">
        <v>0.58</v>
      </c>
      <c r="X248" t="n">
        <v>0.25</v>
      </c>
      <c r="AB248" t="inlineStr">
        <is>
          <t>Dec-25</t>
        </is>
      </c>
      <c r="AC248" t="inlineStr">
        <is>
          <t>Mar - 26</t>
        </is>
      </c>
      <c r="AD248" t="inlineStr">
        <is>
          <t>RoW: 101 Locs.
Tehsils: Morbi- 75 Nos (35 Morbi, 8 Maliya, 32 Halvad)
Kutch 26 Locs Tehsils: (Bhuj- 2 Nos, Bhachau-24)
Forest (266.6997 Ha, 99 locs) in Gujarat.
Wildlife (36.6493 Ha, 18 locs.) in Gujarat.</t>
        </is>
      </c>
    </row>
    <row r="249">
      <c r="E249" t="inlineStr">
        <is>
          <t>LILO of Lakadia – Ahmedabad 765 kV D/c line at Halvad</t>
        </is>
      </c>
      <c r="P249" t="inlineStr">
        <is>
          <t>Dec-23</t>
        </is>
      </c>
      <c r="Q249" t="n">
        <v>68</v>
      </c>
      <c r="R249" t="n">
        <v>100</v>
      </c>
      <c r="S249" t="n">
        <v>90</v>
      </c>
      <c r="T249" t="n">
        <v>59</v>
      </c>
      <c r="U249" t="n">
        <v>2.96</v>
      </c>
      <c r="V249" t="n">
        <v>0.9</v>
      </c>
      <c r="W249" t="n">
        <v>0.59</v>
      </c>
      <c r="X249" t="n">
        <v>0.04</v>
      </c>
      <c r="AB249" t="inlineStr">
        <is>
          <t>Dec-25</t>
        </is>
      </c>
      <c r="AC249" t="inlineStr">
        <is>
          <t>Mar - 26</t>
        </is>
      </c>
    </row>
    <row r="250">
      <c r="E250" t="inlineStr">
        <is>
          <t>Transmission System for Evacuation of Power from potential
renewable energy zone in Khavda area of Gujarat under Phase-IV
(7 GW): Part A</t>
        </is>
      </c>
      <c r="P250" t="inlineStr">
        <is>
          <t>Aug-24</t>
        </is>
      </c>
      <c r="AB250" t="inlineStr">
        <is>
          <t>Aug-26</t>
        </is>
      </c>
      <c r="AC250" t="inlineStr">
        <is>
          <t>Aug - 26</t>
        </is>
      </c>
    </row>
    <row r="251">
      <c r="E251" t="inlineStr">
        <is>
          <t>Augmentation of KPS3 (GIS) by 3x1500 MVA, 765/400 kV ICTs</t>
        </is>
      </c>
      <c r="P251" t="inlineStr">
        <is>
          <t>Aug-24</t>
        </is>
      </c>
      <c r="Y251" t="inlineStr">
        <is>
          <t>42.00%</t>
        </is>
      </c>
      <c r="Z251" t="inlineStr">
        <is>
          <t>20.00%</t>
        </is>
      </c>
      <c r="AA251" t="inlineStr">
        <is>
          <t>5.00%</t>
        </is>
      </c>
      <c r="AB251" t="inlineStr">
        <is>
          <t>Aug-26</t>
        </is>
      </c>
      <c r="AC251" t="inlineStr">
        <is>
          <t>Aug - 26</t>
        </is>
      </c>
      <c r="AD251" t="inlineStr">
        <is>
          <t>Land required for Lakadia bay extension: 13 Acres, same under acquisition</t>
        </is>
      </c>
    </row>
    <row r="252">
      <c r="E252" t="inlineStr">
        <is>
          <t>765 kV KPS3 (GIS) – Lakadia (AIS) D/C line</t>
        </is>
      </c>
      <c r="P252" t="inlineStr">
        <is>
          <t>Aug-24</t>
        </is>
      </c>
      <c r="Q252" t="n">
        <v>404</v>
      </c>
      <c r="R252" t="n">
        <v>513</v>
      </c>
      <c r="S252" t="n">
        <v>262</v>
      </c>
      <c r="T252" t="n">
        <v>121</v>
      </c>
      <c r="U252" t="n">
        <v>4.8</v>
      </c>
      <c r="V252" t="n">
        <v>0.51</v>
      </c>
      <c r="W252" t="n">
        <v>0.24</v>
      </c>
      <c r="X252" t="n">
        <v>0.01</v>
      </c>
      <c r="AB252" t="inlineStr">
        <is>
          <t>Aug-26</t>
        </is>
      </c>
      <c r="AC252" t="inlineStr">
        <is>
          <t>Aug - 26</t>
        </is>
      </c>
      <c r="AD252" t="inlineStr">
        <is>
          <t>1) ROW: 40 Locs : Khavda (1), Bhuj - (15), Bhachau - (24). Application for Section
16(1) is submitted
2) Forest- KPS3-Lakadia -(317.61 Ha, 128 locs) - Proposal recommended in PSC-II
vide MoM dated 23-Sep-25. Proposal forwarded from Nodal officer to state
government on 15-Oct-25. Proposal forwarding to IRO is awaited.</t>
        </is>
      </c>
    </row>
    <row r="253">
      <c r="E253" t="inlineStr">
        <is>
          <t>765 kV KPS1 (GIS)– Bhuj PS D/C line (2nd)</t>
        </is>
      </c>
      <c r="P253" t="inlineStr">
        <is>
          <t>Aug-24</t>
        </is>
      </c>
      <c r="Q253" t="n">
        <v>217</v>
      </c>
      <c r="R253" t="n">
        <v>286</v>
      </c>
      <c r="S253" t="n">
        <v>185</v>
      </c>
      <c r="T253" t="n">
        <v>119</v>
      </c>
      <c r="U253" t="n">
        <v>18.08</v>
      </c>
      <c r="V253" t="n">
        <v>0.65</v>
      </c>
      <c r="W253" t="n">
        <v>0.42</v>
      </c>
      <c r="X253" t="n">
        <v>0.08</v>
      </c>
      <c r="AB253" t="inlineStr">
        <is>
          <t>Aug-26</t>
        </is>
      </c>
      <c r="AC253" t="inlineStr">
        <is>
          <t>Aug - 26</t>
        </is>
      </c>
      <c r="AD253" t="inlineStr">
        <is>
          <t>1) ROW: 4 Locs, Bhuj - (4). Application for Section 16(1) is submitted.
2) Forest (220.81 Ha, 84 locs) - Proposal recommended in PSC-II vide MoM dated
23-Sep-25. Proposal forwarded from Nodal officer to state government on 15-Oct-
25. Proposal forwarding to IRO is awaited.</t>
        </is>
      </c>
    </row>
    <row r="254">
      <c r="E254" t="inlineStr">
        <is>
          <t>±300MVAR STATCOM with 1x125 MVAR MSC, 2x125 MVAR MSR at
KPS3 400 kV.</t>
        </is>
      </c>
      <c r="P254" t="inlineStr">
        <is>
          <t>Aug-24</t>
        </is>
      </c>
      <c r="Y254" t="inlineStr">
        <is>
          <t>5.00%</t>
        </is>
      </c>
      <c r="AB254" t="inlineStr">
        <is>
          <t>Aug-26</t>
        </is>
      </c>
      <c r="AC254" t="inlineStr">
        <is>
          <t>Aug - 26</t>
        </is>
      </c>
      <c r="AD254" t="inlineStr">
        <is>
          <t>Land required: ROU permission required from GPCL/Govt of Gujarat. Letter
submitted to GPCL , Further letter written to collector for land handover.</t>
        </is>
      </c>
    </row>
    <row r="255">
      <c r="E255" t="inlineStr">
        <is>
          <t>Transmission System for Network Expansion Scheme in Navinal
(Mundra) area of Gujarat for drawal of power in the area (SPV:
NavinalTransmission Ltd.)</t>
        </is>
      </c>
      <c r="P255" t="inlineStr">
        <is>
          <t>Oct-24</t>
        </is>
      </c>
      <c r="AB255" t="inlineStr">
        <is>
          <t>Jul-26</t>
        </is>
      </c>
      <c r="AC255" t="inlineStr">
        <is>
          <t>Jul - 26</t>
        </is>
      </c>
    </row>
    <row r="256">
      <c r="E256" t="inlineStr">
        <is>
          <t>Establishment of 4x1500 MVA, 765/400 kV Navinal (Mundra)
S/s (GIS)</t>
        </is>
      </c>
      <c r="P256" t="inlineStr">
        <is>
          <t>Oct-24</t>
        </is>
      </c>
      <c r="Y256" t="inlineStr">
        <is>
          <t>45.00%</t>
        </is>
      </c>
      <c r="Z256" t="inlineStr">
        <is>
          <t>25.00%</t>
        </is>
      </c>
      <c r="AA256" t="inlineStr">
        <is>
          <t>0.00%</t>
        </is>
      </c>
      <c r="AB256" t="inlineStr">
        <is>
          <t>Jul-26</t>
        </is>
      </c>
      <c r="AC256" t="inlineStr">
        <is>
          <t>Jul - 26</t>
        </is>
      </c>
      <c r="AD256" t="inlineStr">
        <is>
          <t>Land (70 Acre): All acquired
Supply, Civil &amp; ETC ordering completed.
EPC package ordering completed.
ICTs, Reactors: Sept;25 to Mar’26</t>
        </is>
      </c>
    </row>
    <row r="257">
      <c r="E257" t="inlineStr">
        <is>
          <t>LILO of Bhuj-II – Lakadia 765 kV D/C line at Navinal (Mundra)
(GIS) S/s</t>
        </is>
      </c>
      <c r="P257" t="inlineStr">
        <is>
          <t>Oct-24</t>
        </is>
      </c>
      <c r="Q257" t="n">
        <v>257</v>
      </c>
      <c r="R257" t="n">
        <v>368</v>
      </c>
      <c r="S257" t="n">
        <v>137</v>
      </c>
      <c r="T257" t="n">
        <v>65</v>
      </c>
      <c r="U257" t="n">
        <v>0</v>
      </c>
      <c r="V257" t="n">
        <v>0.37</v>
      </c>
      <c r="W257" t="n">
        <v>0.18</v>
      </c>
      <c r="X257" t="n">
        <v>0</v>
      </c>
      <c r="AB257" t="inlineStr">
        <is>
          <t>Jul-26</t>
        </is>
      </c>
      <c r="AC257" t="inlineStr">
        <is>
          <t>Jul - 26</t>
        </is>
      </c>
      <c r="AD257" t="inlineStr">
        <is>
          <t>1] Forest-(73.9278 Ha, 42 locs) in Gujarat,Proposal from DFO, Kutch East &amp; Kutch
SF forwarded to CCF. Kutch West to CCF on 20-Sep-25. Proposal forwarded from
CCF to Nodal Officer on 10-Oct-25. PSC-II completed on 6-Nov-25.
2] ROW- Mundra Tehsil. (129 Locs, 44 Km)</t>
        </is>
      </c>
    </row>
    <row r="258">
      <c r="E258" t="inlineStr">
        <is>
          <t>Network Expansion scheme in Gujarat for drawl of about 3.6 GW
load under Phase-I in Jamnagar area (SPV: Jamnagar Transmission
Ltd.)</t>
        </is>
      </c>
      <c r="P258" t="inlineStr">
        <is>
          <t>Oct-24</t>
        </is>
      </c>
      <c r="AB258" t="inlineStr">
        <is>
          <t>Oct-26</t>
        </is>
      </c>
      <c r="AC258" t="inlineStr">
        <is>
          <t>Oct - 26</t>
        </is>
      </c>
    </row>
    <row r="259">
      <c r="E259" t="inlineStr">
        <is>
          <t>Establishment of 2x1500 MVA 765/400 kV Jamnagar (GIS) PS</t>
        </is>
      </c>
      <c r="P259" t="inlineStr">
        <is>
          <t>Oct-24</t>
        </is>
      </c>
      <c r="AB259" t="inlineStr">
        <is>
          <t>Oct-26</t>
        </is>
      </c>
      <c r="AC259" t="inlineStr">
        <is>
          <t>Oct - 26</t>
        </is>
      </c>
      <c r="AD259" t="inlineStr">
        <is>
          <t>Land (115 Acre): Land acquisition under progress.</t>
        </is>
      </c>
    </row>
    <row r="260">
      <c r="E260" t="inlineStr">
        <is>
          <t>Halvad – Jamnagar 765 kV D/c line</t>
        </is>
      </c>
      <c r="P260" t="inlineStr">
        <is>
          <t>Oct-24</t>
        </is>
      </c>
      <c r="Q260" t="n">
        <v>340</v>
      </c>
      <c r="R260" t="n">
        <v>391</v>
      </c>
      <c r="S260" t="n">
        <v>58</v>
      </c>
      <c r="T260" t="n">
        <v>7</v>
      </c>
      <c r="V260" t="n">
        <v>0.15</v>
      </c>
      <c r="W260" t="n">
        <v>0.02</v>
      </c>
      <c r="X260" t="n">
        <v>0</v>
      </c>
      <c r="AB260" t="inlineStr">
        <is>
          <t>Oct-26</t>
        </is>
      </c>
      <c r="AC260" t="inlineStr">
        <is>
          <t>Oct - 26</t>
        </is>
      </c>
      <c r="AD260" t="inlineStr">
        <is>
          <t>1] Check survey under progress 89 km off 147 Km completed
2] Forest: 16.552 Ha, 2 Locations 3.54 km affected- Modification in proposal due
to change in Jamnagar SS land. Revised hard copies submitted in all divisions in
August 2025 EDS compliance completed.</t>
        </is>
      </c>
    </row>
    <row r="261">
      <c r="E261" t="inlineStr">
        <is>
          <t>LILO of Jam Khambhaliya PS – Lakadia 400 kV D/c (triple snowbird)
line at Jamnagar</t>
        </is>
      </c>
      <c r="P261" t="inlineStr">
        <is>
          <t>Oct-24</t>
        </is>
      </c>
      <c r="Q261" t="n">
        <v>20</v>
      </c>
      <c r="R261" t="n">
        <v>28</v>
      </c>
      <c r="S261" t="n">
        <v>0</v>
      </c>
      <c r="V261" t="n">
        <v>0</v>
      </c>
      <c r="W261" t="n">
        <v>0</v>
      </c>
      <c r="X261" t="n">
        <v>0</v>
      </c>
      <c r="AB261" t="inlineStr">
        <is>
          <t>Oct-26</t>
        </is>
      </c>
      <c r="AC261" t="inlineStr">
        <is>
          <t>Oct - 26</t>
        </is>
      </c>
      <c r="AD261" t="inlineStr">
        <is>
          <t>1] Check survey under progress.
2] Forest: 0.12 Ha, 0 Locations 0.012 km affected. Proposal submitted on Parivesh
portal on 06-08-25.</t>
        </is>
      </c>
    </row>
    <row r="262">
      <c r="E262" t="inlineStr">
        <is>
          <t>Jamnagar – Jam Khambhaliya 400 kV D/c (Quad ACSR/AAAC/AL59
moose equivalent) line</t>
        </is>
      </c>
      <c r="P262" t="inlineStr">
        <is>
          <t>Oct-24</t>
        </is>
      </c>
      <c r="Q262" t="n">
        <v>100</v>
      </c>
      <c r="R262" t="n">
        <v>112</v>
      </c>
      <c r="S262" t="n">
        <v>0</v>
      </c>
      <c r="V262" t="n">
        <v>0</v>
      </c>
      <c r="W262" t="n">
        <v>0</v>
      </c>
      <c r="X262" t="n">
        <v>0</v>
      </c>
      <c r="AB262" t="inlineStr">
        <is>
          <t>Oct-26</t>
        </is>
      </c>
      <c r="AC262" t="inlineStr">
        <is>
          <t>Oct - 26</t>
        </is>
      </c>
      <c r="AD262" t="inlineStr">
        <is>
          <t>1) Forest: 2.43 Ha, 2 Locations 0.528 km affected. Proposal submitted on Parivesh
portal on 06-08-25.
2) Check survey completed 37 Km off 41 Km.</t>
        </is>
      </c>
    </row>
    <row r="263">
      <c r="E263" t="inlineStr">
        <is>
          <t>LILO of CGPL – Jetpur 400kV D/c (triple snowbird) line at
Jamnagar</t>
        </is>
      </c>
      <c r="P263" t="inlineStr">
        <is>
          <t>Oct-24</t>
        </is>
      </c>
      <c r="Q263" t="n">
        <v>260</v>
      </c>
      <c r="R263" t="n">
        <v>339</v>
      </c>
      <c r="S263" t="n">
        <v>13</v>
      </c>
      <c r="V263" t="n">
        <v>0.04</v>
      </c>
      <c r="W263" t="n">
        <v>0</v>
      </c>
      <c r="X263" t="n">
        <v>0</v>
      </c>
      <c r="AB263" t="inlineStr">
        <is>
          <t>Oct-26</t>
        </is>
      </c>
      <c r="AC263" t="inlineStr">
        <is>
          <t>Oct - 26</t>
        </is>
      </c>
      <c r="AD263" t="inlineStr">
        <is>
          <t>1] Check survey under progress 123 Km off 123 Km
2] Forest: 1.08 Ha, 0 Locations 0.234 km affected. Proposal submitted on Parivesh
portal on 06-08-25.</t>
        </is>
      </c>
    </row>
    <row r="264">
      <c r="E264" t="inlineStr">
        <is>
          <t>LILO of both ckts of Kalavad – Bhogat 400kV D/c line (Twin AL-59) at
Jam Khambhaliya PS</t>
        </is>
      </c>
      <c r="P264" t="inlineStr">
        <is>
          <t>Oct-24</t>
        </is>
      </c>
      <c r="Q264" t="n">
        <v>40</v>
      </c>
      <c r="R264" t="n">
        <v>35</v>
      </c>
      <c r="S264" t="n">
        <v>0</v>
      </c>
      <c r="V264" t="n">
        <v>0</v>
      </c>
      <c r="W264" t="n">
        <v>0</v>
      </c>
      <c r="X264" t="n">
        <v>0</v>
      </c>
      <c r="AB264" t="inlineStr">
        <is>
          <t>Oct-26</t>
        </is>
      </c>
      <c r="AC264" t="inlineStr">
        <is>
          <t>Oct - 26</t>
        </is>
      </c>
      <c r="AD264" t="inlineStr">
        <is>
          <t>Check survey under progress.</t>
        </is>
      </c>
    </row>
    <row r="265">
      <c r="E265" t="inlineStr">
        <is>
          <t>±400 MVAr STATCOM with 3x125 MVAr MSC &amp; 2x125 MVAr MSR at
Jamnagar 400kV Bus section</t>
        </is>
      </c>
      <c r="P265" t="inlineStr">
        <is>
          <t>Oct-24</t>
        </is>
      </c>
      <c r="AB265" t="inlineStr">
        <is>
          <t>Oct-26</t>
        </is>
      </c>
      <c r="AC265" t="inlineStr">
        <is>
          <t>Oct - 26</t>
        </is>
      </c>
      <c r="AD265" t="inlineStr">
        <is>
          <t>Engineering under progress</t>
        </is>
      </c>
    </row>
    <row r="266">
      <c r="E266" t="inlineStr">
        <is>
          <t>Potential REZ in Khavda area of Gujarat under Phase-IV (7GW):
Part D (PUNE- III TRANSMISSION LIMITED)</t>
        </is>
      </c>
      <c r="P266" t="inlineStr">
        <is>
          <t>Nov-24</t>
        </is>
      </c>
      <c r="AB266" t="inlineStr">
        <is>
          <t>Nov-26</t>
        </is>
      </c>
      <c r="AC266" t="inlineStr">
        <is>
          <t>Nov - 26</t>
        </is>
      </c>
    </row>
    <row r="267">
      <c r="E267" t="inlineStr">
        <is>
          <t>Establishment of 2x1500 MVA, 765/400 kV &amp; 3x500 MVA, 400/220
kV Pune- III (GIS) S/s</t>
        </is>
      </c>
      <c r="P267" t="inlineStr">
        <is>
          <t>Nov-24</t>
        </is>
      </c>
      <c r="AB267" t="inlineStr">
        <is>
          <t>Nov-26</t>
        </is>
      </c>
      <c r="AC267" t="inlineStr">
        <is>
          <t>Nov - 26</t>
        </is>
      </c>
      <c r="AD267" t="inlineStr">
        <is>
          <t>Pune - III Substation : Land (105 Acre, all Pvt.): Land under posession and Land
development work is in progress.
2 Nos Bays at Boisar II: OGA finalization is on hold due to non availablity of
sufficeient space to accomodate scope alocated to Pune - III Tranmsiison limited
and mismatch in Future scope of Khavda IV C Transmission Limited and present
scope of Pune - III Tranmsission Limited.</t>
        </is>
      </c>
    </row>
    <row r="268">
      <c r="E268" t="inlineStr">
        <is>
          <t>Boisar-II – Pune-III 765 kV D/c line (228 km)</t>
        </is>
      </c>
      <c r="P268" t="inlineStr">
        <is>
          <t>Nov-24</t>
        </is>
      </c>
      <c r="Q268" t="n">
        <v>456</v>
      </c>
      <c r="R268" t="n">
        <v>629</v>
      </c>
      <c r="S268" t="n">
        <v>5</v>
      </c>
      <c r="V268" t="n">
        <v>0.01</v>
      </c>
      <c r="W268" t="n">
        <v>0</v>
      </c>
      <c r="X268" t="n">
        <v>0</v>
      </c>
      <c r="AB268" t="inlineStr">
        <is>
          <t>Nov-26</t>
        </is>
      </c>
      <c r="AC268" t="inlineStr">
        <is>
          <t>Nov - 26</t>
        </is>
      </c>
      <c r="AD268" t="inlineStr">
        <is>
          <t>ROW: Palghar (2), Pune (4).
Forest- Area: (~50 Km) : 765 KV Boisar II to Pune III Transmission Line passes
through Jawahar, Thane, Alibaugh, and Pune Forest Divisions.</t>
        </is>
      </c>
    </row>
    <row r="269">
      <c r="E269" t="inlineStr">
        <is>
          <t>LILO of Narendra (New) – Pune (GIS) 765 kV D/c line at Pune-III (85.6
km)</t>
        </is>
      </c>
      <c r="P269" t="inlineStr">
        <is>
          <t>Nov-24</t>
        </is>
      </c>
      <c r="Q269" t="n">
        <v>171</v>
      </c>
      <c r="R269" t="n">
        <v>213</v>
      </c>
      <c r="S269" t="n">
        <v>20</v>
      </c>
      <c r="V269" t="n">
        <v>0.09</v>
      </c>
      <c r="W269" t="n">
        <v>0</v>
      </c>
      <c r="X269" t="n">
        <v>0</v>
      </c>
      <c r="AB269" t="inlineStr">
        <is>
          <t>Nov-26</t>
        </is>
      </c>
      <c r="AC269" t="inlineStr">
        <is>
          <t>Nov - 26</t>
        </is>
      </c>
      <c r="AD269" t="inlineStr">
        <is>
          <t>RoW : Pune (2, Baramati and Purandar Taluka)
Forest ( ~28 Ha combined with 400 KV LILO Line) : Under Sec. (Mantralaya -
Mumbai) GOM has recomended proposal to RO MoEF&amp;CC ( GOI)</t>
        </is>
      </c>
    </row>
    <row r="270">
      <c r="E270" t="inlineStr">
        <is>
          <t>LILO of Hinjewadi-Koyna 400 kV S/c line at Pune-III (GIS) S/s (8.516
km)</t>
        </is>
      </c>
      <c r="P270" t="inlineStr">
        <is>
          <t>Nov-24</t>
        </is>
      </c>
      <c r="Q270" t="n">
        <v>17</v>
      </c>
      <c r="R270" t="n">
        <v>24</v>
      </c>
      <c r="V270" t="n">
        <v>0</v>
      </c>
      <c r="W270" t="n">
        <v>0</v>
      </c>
      <c r="X270" t="n">
        <v>0</v>
      </c>
      <c r="AB270" t="inlineStr">
        <is>
          <t>Nov-26</t>
        </is>
      </c>
      <c r="AC270" t="inlineStr">
        <is>
          <t>Nov - 26</t>
        </is>
      </c>
      <c r="AD270" t="inlineStr">
        <is>
          <t>RoW : Pune (2, Baramati and Purandar Taluka)
Forest ( ~28 Ha combined with 765 KV LILO Line ) : Under Sec. (Mantralaya -
Mumbai) GOM has recomended proposal to RO MoEF&amp;CC ( GOI)</t>
        </is>
      </c>
    </row>
    <row r="271">
      <c r="E271" t="inlineStr">
        <is>
          <t>Transmission System for Evacuation of Power from REZ in
Rajasthan (20GW) under Phase III Part I
(SPV Name: )</t>
        </is>
      </c>
      <c r="P271" t="inlineStr">
        <is>
          <t>Jan-25</t>
        </is>
      </c>
      <c r="AB271" t="inlineStr">
        <is>
          <t>Jul-29</t>
        </is>
      </c>
      <c r="AC271" t="inlineStr">
        <is>
          <t>Jul - 29</t>
        </is>
      </c>
    </row>
    <row r="272">
      <c r="E272" t="inlineStr">
        <is>
          <t>Establishment of 6000 MW (4x1500 MW), ± 800 kV (HVDC) [LCC]
near Bhadla-III S/s and at Fatehpur(UP) (Bipole-1: 3000 MW)</t>
        </is>
      </c>
      <c r="P272" t="inlineStr">
        <is>
          <t>Jan-25</t>
        </is>
      </c>
      <c r="AB272" t="inlineStr">
        <is>
          <t>Jul-29</t>
        </is>
      </c>
      <c r="AC272" t="inlineStr">
        <is>
          <t>Jul - 29</t>
        </is>
      </c>
      <c r="AD272" t="inlineStr">
        <is>
          <t>Land (156 Acre, all Pvt.): All Acquire
Engg. Under progress</t>
        </is>
      </c>
    </row>
    <row r="273">
      <c r="E273" t="inlineStr">
        <is>
          <t>Establishment of 6000 MW (4x1500 MW), ± 800 kV (HVDC) [LCC]
near Bhadla-III S/s and at Fatehpur(UP) (Bipole-2: 3000 MW)</t>
        </is>
      </c>
      <c r="P273" t="inlineStr">
        <is>
          <t>Jan-25</t>
        </is>
      </c>
      <c r="AB273" t="inlineStr">
        <is>
          <t>Jul-29</t>
        </is>
      </c>
      <c r="AC273" t="inlineStr">
        <is>
          <t>Jul - 29</t>
        </is>
      </c>
      <c r="AD273" t="inlineStr">
        <is>
          <t>Land (270 Acre, all Pvt.): – Under acquisition
Engg. Under progress</t>
        </is>
      </c>
    </row>
    <row r="274">
      <c r="E274" t="inlineStr">
        <is>
          <t>Establishment of 5x1500 MVA, 765/400 kV ICTs at Fatehpur HVDC</t>
        </is>
      </c>
      <c r="P274" t="inlineStr">
        <is>
          <t>Jan-25</t>
        </is>
      </c>
      <c r="AB274" t="inlineStr">
        <is>
          <t>Jul-29</t>
        </is>
      </c>
      <c r="AC274" t="inlineStr">
        <is>
          <t>Jul - 29</t>
        </is>
      </c>
      <c r="AD274" t="inlineStr">
        <is>
          <t>Engg. Under Progress</t>
        </is>
      </c>
    </row>
    <row r="275">
      <c r="E275" t="inlineStr">
        <is>
          <t>±800 kV HVDC line (Hexa lapwing) between Bhadla
(HVDC) and Fatehpur (HVDC) (with DMR)</t>
        </is>
      </c>
      <c r="P275" t="inlineStr">
        <is>
          <t>Jan-25</t>
        </is>
      </c>
      <c r="Q275" t="n">
        <v>955</v>
      </c>
      <c r="R275" t="inlineStr">
        <is>
          <t>2,173</t>
        </is>
      </c>
      <c r="X275" t="n">
        <v>0</v>
      </c>
      <c r="AB275" t="inlineStr">
        <is>
          <t>Jul-29</t>
        </is>
      </c>
      <c r="AC275" t="inlineStr">
        <is>
          <t>Jul - 29</t>
        </is>
      </c>
      <c r="AD275" t="inlineStr">
        <is>
          <t>Forest: Rajasthan State (88 Ha), Madhya Pradesh : (35 Ha) :LoA has been issued
Forest: Uttar Pradesh : (4 Ha) Land Finalization under progress.
Wildlife: Rajasthan State : (7 Ha) LOA has been issued.
Wildlife: Madhya Pradesh : (7 Ha)</t>
        </is>
      </c>
    </row>
    <row r="276">
      <c r="E276" t="inlineStr">
        <is>
          <t>400 kV 2xD/c Bhadla III-Bhadla (HVDC) line (Quad Moose)</t>
        </is>
      </c>
      <c r="P276" t="inlineStr">
        <is>
          <t>Jan-25</t>
        </is>
      </c>
      <c r="Q276" t="n">
        <v>2</v>
      </c>
      <c r="R276" t="n">
        <v>18</v>
      </c>
      <c r="V276" t="n">
        <v>0</v>
      </c>
      <c r="W276" t="n">
        <v>0</v>
      </c>
      <c r="X276" t="n">
        <v>0</v>
      </c>
      <c r="AB276" t="inlineStr">
        <is>
          <t>Jul-29</t>
        </is>
      </c>
      <c r="AC276" t="inlineStr">
        <is>
          <t>Jul - 29</t>
        </is>
      </c>
      <c r="AD276" t="inlineStr">
        <is>
          <t>Engg under progress</t>
        </is>
      </c>
    </row>
    <row r="277">
      <c r="E277" t="inlineStr">
        <is>
          <t>LILO of both ckts of 765 kV Varanasi– Kanpur(GIS) D/c line at
Fatehpur</t>
        </is>
      </c>
      <c r="P277" t="inlineStr">
        <is>
          <t>Jan-25</t>
        </is>
      </c>
      <c r="Q277" t="n">
        <v>47</v>
      </c>
      <c r="R277" t="n">
        <v>86</v>
      </c>
      <c r="V277" t="n">
        <v>0</v>
      </c>
      <c r="W277" t="n">
        <v>0</v>
      </c>
      <c r="X277" t="n">
        <v>0</v>
      </c>
      <c r="AB277" t="inlineStr">
        <is>
          <t>Jul-29</t>
        </is>
      </c>
      <c r="AC277" t="inlineStr">
        <is>
          <t>Jul - 29</t>
        </is>
      </c>
      <c r="AD277" t="inlineStr">
        <is>
          <t>Engg under progress</t>
        </is>
      </c>
    </row>
    <row r="278">
      <c r="E278" t="inlineStr">
        <is>
          <t>Transmission system for supply of power to Green Hydrogen/
Ammonia manufacturing potential in Mundra area of Gujarat
under Phase-I: Part B1 scheme (3 GW at Navinal S/s) (SPV:
MUNDRA I TRANSMISSION LIMITED)</t>
        </is>
      </c>
      <c r="P278" t="inlineStr">
        <is>
          <t>Mar-25</t>
        </is>
      </c>
      <c r="AB278" t="inlineStr">
        <is>
          <t>Mar-28</t>
        </is>
      </c>
      <c r="AC278" t="inlineStr">
        <is>
          <t>Mar - 28</t>
        </is>
      </c>
    </row>
    <row r="279">
      <c r="E279" t="inlineStr">
        <is>
          <t>Augmentation of Transformation capacity at 765/400 kV
Navinal(Mundra) S/s (GIS) by 2x1500 MVA ICTs</t>
        </is>
      </c>
      <c r="P279" t="inlineStr">
        <is>
          <t>Mar-25</t>
        </is>
      </c>
      <c r="AB279" t="inlineStr">
        <is>
          <t>Mar-28</t>
        </is>
      </c>
      <c r="AC279" t="inlineStr">
        <is>
          <t>Mar - 28</t>
        </is>
      </c>
      <c r="AD279" t="inlineStr">
        <is>
          <t>Enquiry floated to vendor</t>
        </is>
      </c>
    </row>
    <row r="280">
      <c r="E280" t="inlineStr">
        <is>
          <t>Navinal(Mundra) (GIS) – Bhuj 765 kV D/c line</t>
        </is>
      </c>
      <c r="P280" t="inlineStr">
        <is>
          <t>Mar-25</t>
        </is>
      </c>
      <c r="Q280" t="n">
        <v>140</v>
      </c>
      <c r="R280" t="n">
        <v>202</v>
      </c>
      <c r="V280" t="n">
        <v>0</v>
      </c>
      <c r="W280" t="n">
        <v>0</v>
      </c>
      <c r="X280" t="n">
        <v>0</v>
      </c>
      <c r="AB280" t="inlineStr">
        <is>
          <t>Mar-28</t>
        </is>
      </c>
      <c r="AC280" t="inlineStr">
        <is>
          <t>Mar - 28</t>
        </is>
      </c>
      <c r="AD280" t="inlineStr">
        <is>
          <t>Enquiry floated to vendor</t>
        </is>
      </c>
    </row>
    <row r="281">
      <c r="E281" t="inlineStr">
        <is>
          <t>±300MVAr STATCOM along with 2x125MVAr MSC &amp; 1x125MVAr
MSR at Navinal(Mundra) (GIS) 400 kV Bus section-I</t>
        </is>
      </c>
      <c r="P281" t="inlineStr">
        <is>
          <t>Mar-25</t>
        </is>
      </c>
      <c r="AB281" t="inlineStr">
        <is>
          <t>Mar-28</t>
        </is>
      </c>
      <c r="AC281" t="inlineStr">
        <is>
          <t>Mar - 28</t>
        </is>
      </c>
      <c r="AD281" t="inlineStr">
        <is>
          <t>Enquiry floated to vendor</t>
        </is>
      </c>
    </row>
    <row r="282">
      <c r="E282" t="inlineStr">
        <is>
          <t>±300MVAr STATCOM along with 2x125MVAr MSC &amp; 1x125MVAr
MSR at Navinal(Mundra) (GIS) 400 kV Bus section-II</t>
        </is>
      </c>
      <c r="P282" t="inlineStr">
        <is>
          <t>Mar-25</t>
        </is>
      </c>
      <c r="AB282" t="inlineStr">
        <is>
          <t>Mar-28</t>
        </is>
      </c>
      <c r="AC282" t="inlineStr">
        <is>
          <t>Mar - 28</t>
        </is>
      </c>
      <c r="AD282" t="inlineStr">
        <is>
          <t>Enquiry floated to vendor</t>
        </is>
      </c>
    </row>
    <row r="283">
      <c r="E283" t="inlineStr">
        <is>
          <t>Network Expansion scheme in Western Region to cater to Pumped
storage potential near Talegaon (Pune) SPV: WRNES Talegaon
Power Transmission Limited</t>
        </is>
      </c>
      <c r="P283" t="inlineStr">
        <is>
          <t>May-25</t>
        </is>
      </c>
      <c r="AB283" t="inlineStr">
        <is>
          <t>Jan-28</t>
        </is>
      </c>
      <c r="AC283" t="inlineStr">
        <is>
          <t>Jan - 28</t>
        </is>
      </c>
    </row>
    <row r="284">
      <c r="E284" t="inlineStr">
        <is>
          <t>Establishment 2x1500 MVA, 765/400 kV Substation near South of
Kalamb with 2x330 MVAr, 765 kV bus reactor and 2x125 MVAr, 420
kV bus reactor.</t>
        </is>
      </c>
      <c r="P284" t="inlineStr">
        <is>
          <t>May-25</t>
        </is>
      </c>
      <c r="AB284" t="inlineStr">
        <is>
          <t>Jan-28</t>
        </is>
      </c>
      <c r="AC284" t="inlineStr">
        <is>
          <t>Jan - 28</t>
        </is>
      </c>
      <c r="AD284" t="inlineStr">
        <is>
          <t>Land (350 Acre, all Pvt.): Pending (350 Acre)</t>
        </is>
      </c>
    </row>
    <row r="285">
      <c r="E285" t="inlineStr">
        <is>
          <t>LILO of Pune-III – Boisar-II 765 kV D/C line at South Kalamb S/s with
associated bays at South Kalamb S/s.</t>
        </is>
      </c>
      <c r="P285" t="inlineStr">
        <is>
          <t>May-25</t>
        </is>
      </c>
      <c r="Q285" t="n">
        <v>2</v>
      </c>
      <c r="R285" t="n">
        <v>6</v>
      </c>
      <c r="V285" t="n">
        <v>0</v>
      </c>
      <c r="W285" t="n">
        <v>0</v>
      </c>
      <c r="X285" t="n">
        <v>0</v>
      </c>
      <c r="AB285" t="inlineStr">
        <is>
          <t>Jan-28</t>
        </is>
      </c>
      <c r="AC285" t="inlineStr">
        <is>
          <t>Jan - 28</t>
        </is>
      </c>
      <c r="AD285" t="inlineStr">
        <is>
          <t>EPC ordering under progress.</t>
        </is>
      </c>
    </row>
    <row r="286">
      <c r="E286" t="inlineStr">
        <is>
          <t>System strengthening in northern region (NRSS XXXVI) along with
LILO of Sikar-Neemrana 400 kV D/C line at Babai(RVPNL)
(CKM-305)</t>
        </is>
      </c>
      <c r="P286" t="inlineStr">
        <is>
          <t>Aug-16</t>
        </is>
      </c>
      <c r="AB286" t="inlineStr">
        <is>
          <t>Dec-19</t>
        </is>
      </c>
      <c r="AC286" t="inlineStr">
        <is>
          <t>Dec - 25</t>
        </is>
      </c>
      <c r="AD286" t="inlineStr">
        <is>
          <t>Project was awarded to Essel infra Project Limited. Due to insolvency project
now transferred to M/s Resurgent Power (JV of TATA and ICICI) in March 2022.</t>
        </is>
      </c>
    </row>
    <row r="287">
      <c r="E287" t="inlineStr">
        <is>
          <t>Koteshwar - Rishikesh 400kV D/C line</t>
        </is>
      </c>
      <c r="P287" t="inlineStr">
        <is>
          <t>Aug-16</t>
        </is>
      </c>
      <c r="Q287" t="n">
        <v>77</v>
      </c>
      <c r="R287" t="n">
        <v>102</v>
      </c>
      <c r="S287" t="n">
        <v>102</v>
      </c>
      <c r="T287" t="n">
        <v>102</v>
      </c>
      <c r="U287" t="n">
        <v>77</v>
      </c>
      <c r="V287" t="n">
        <v>1</v>
      </c>
      <c r="W287" t="n">
        <v>1</v>
      </c>
      <c r="X287" t="n">
        <v>1</v>
      </c>
      <c r="Y287" t="inlineStr">
        <is>
          <t>100.00%</t>
        </is>
      </c>
      <c r="Z287" t="inlineStr">
        <is>
          <t>100.00%</t>
        </is>
      </c>
      <c r="AA287" t="inlineStr">
        <is>
          <t>100.00%</t>
        </is>
      </c>
      <c r="AB287" t="inlineStr">
        <is>
          <t>Dec-19</t>
        </is>
      </c>
      <c r="AC287" t="inlineStr">
        <is>
          <t>Dec - 25</t>
        </is>
      </c>
      <c r="AD287" t="inlineStr">
        <is>
          <t>Approval for charging of is in progress.</t>
        </is>
      </c>
    </row>
    <row r="288">
      <c r="E288" t="inlineStr">
        <is>
          <t>LILO of one ckt of 400 kV D/C Sikar (PG)-Neemrana (PG) line at
Babai.</t>
        </is>
      </c>
      <c r="P288" t="inlineStr">
        <is>
          <t>Aug-16</t>
        </is>
      </c>
      <c r="R288" t="n">
        <v>6</v>
      </c>
      <c r="V288" t="n">
        <v>0</v>
      </c>
      <c r="W288" t="n">
        <v>0</v>
      </c>
      <c r="AB288" t="inlineStr">
        <is>
          <t>Dec-16</t>
        </is>
      </c>
      <c r="AC288" t="inlineStr">
        <is>
          <t>Oct - 17</t>
        </is>
      </c>
      <c r="AD288" t="inlineStr">
        <is>
          <t>Line charged in Oct'17</t>
        </is>
      </c>
    </row>
    <row r="289">
      <c r="E289" t="inlineStr">
        <is>
          <t>Babai (RRVPNL) – Bhiwani (PG) 400 kV D/C line</t>
        </is>
      </c>
      <c r="P289" t="inlineStr">
        <is>
          <t>Aug-16</t>
        </is>
      </c>
      <c r="R289" t="n">
        <v>304</v>
      </c>
      <c r="V289" t="n">
        <v>0</v>
      </c>
      <c r="W289" t="n">
        <v>0</v>
      </c>
      <c r="AB289" t="inlineStr">
        <is>
          <t>Jun-19</t>
        </is>
      </c>
      <c r="AC289" t="inlineStr">
        <is>
          <t>Oct - 23</t>
        </is>
      </c>
      <c r="AD289" t="inlineStr">
        <is>
          <t>Line charged in Nov'23</t>
        </is>
      </c>
    </row>
    <row r="290">
      <c r="E290" t="inlineStr">
        <is>
          <t>Transmission system for evacuation of power from
Rajasthan REZ Ph-IV (Part-1) (Bikaner Complex): PART-C</t>
        </is>
      </c>
      <c r="P290" t="inlineStr">
        <is>
          <t>Dec-23</t>
        </is>
      </c>
      <c r="AB290" t="inlineStr">
        <is>
          <t>Dec-25</t>
        </is>
      </c>
      <c r="AC290" t="inlineStr">
        <is>
          <t>Jun - 26</t>
        </is>
      </c>
    </row>
    <row r="291">
      <c r="E291" t="inlineStr">
        <is>
          <t>Bikaner-III - Neemrana-II 765 kV D/C line (2nd)</t>
        </is>
      </c>
      <c r="P291" t="inlineStr">
        <is>
          <t>Dec-23</t>
        </is>
      </c>
      <c r="Q291" t="n">
        <v>692</v>
      </c>
      <c r="R291" t="n">
        <v>884</v>
      </c>
      <c r="S291" t="n">
        <v>861</v>
      </c>
      <c r="T291" t="n">
        <v>418</v>
      </c>
      <c r="U291" t="n">
        <v>66</v>
      </c>
      <c r="V291" t="n">
        <v>0.97</v>
      </c>
      <c r="W291" t="n">
        <v>0.47</v>
      </c>
      <c r="X291" t="n">
        <v>0.1</v>
      </c>
      <c r="Y291" t="inlineStr">
        <is>
          <t>50.00%</t>
        </is>
      </c>
      <c r="Z291" t="inlineStr">
        <is>
          <t>57.00%</t>
        </is>
      </c>
      <c r="AA291" t="inlineStr">
        <is>
          <t>0.00%</t>
        </is>
      </c>
      <c r="AB291" t="inlineStr">
        <is>
          <t>Dec-25</t>
        </is>
      </c>
      <c r="AC291" t="inlineStr">
        <is>
          <t>Jun - 26</t>
        </is>
      </c>
      <c r="AD291" t="inlineStr">
        <is>
          <t>• RoW Foundation (7 Loc) : Bikaner (1), Kotputli (1), Sikar (1), Jhunjhunu (4) in
Rajasthan State
• Erection (35 Loc) : Bikaner (7), Churu (0), Kotputli (5), Jhunjhunu (14) Sikar (1) in
Rajasthan State &amp; Mahendrgarh (8) in Haryana State
• RAC Land work stopped for Erection &amp; Stringing: 1 Location (Distt Kotputli)
• Forest (10.66 Ha, 5 Locs, 4 ckm) in Haryana: Stage I awaited
• Forest (2.22 Ha) in Rajasthan : Stage I Received on 08.08.2025. Payment
deposited.</t>
        </is>
      </c>
    </row>
    <row r="292">
      <c r="E292" t="inlineStr">
        <is>
          <t>Eastern Region Expansion Scheme - XXXIX (ERES-XXXIX)</t>
        </is>
      </c>
      <c r="P292" t="inlineStr">
        <is>
          <t>Nov-24</t>
        </is>
      </c>
      <c r="AB292" t="inlineStr">
        <is>
          <t>Dec-27</t>
        </is>
      </c>
      <c r="AC292" t="inlineStr">
        <is>
          <t>Dec - 27</t>
        </is>
      </c>
    </row>
    <row r="293">
      <c r="E293" t="inlineStr">
        <is>
          <t>Establishment of new 765/400 kV, 2x1500 MVA GIS S/s at Gopalpur,
Odisha</t>
        </is>
      </c>
      <c r="P293" t="inlineStr">
        <is>
          <t>Nov-24</t>
        </is>
      </c>
      <c r="AB293" t="inlineStr">
        <is>
          <t>Dec-27</t>
        </is>
      </c>
      <c r="AC293" t="inlineStr">
        <is>
          <t>Dec - 27</t>
        </is>
      </c>
      <c r="AD293" t="inlineStr">
        <is>
          <t>70 acres of land at Chattrapur for the Gopalpur substation is in progress</t>
        </is>
      </c>
    </row>
    <row r="294">
      <c r="E294" t="inlineStr">
        <is>
          <t>Angul - Gopalpur 765 kV D/c line</t>
        </is>
      </c>
      <c r="P294" t="inlineStr">
        <is>
          <t>Nov-24</t>
        </is>
      </c>
      <c r="Q294" t="n">
        <v>399</v>
      </c>
      <c r="R294" t="n">
        <v>452</v>
      </c>
      <c r="S294" t="n">
        <v>33</v>
      </c>
      <c r="T294" t="n">
        <v>0</v>
      </c>
      <c r="U294" t="n">
        <v>0</v>
      </c>
      <c r="V294" t="n">
        <v>0.07000000000000001</v>
      </c>
      <c r="W294" t="n">
        <v>0</v>
      </c>
      <c r="X294" t="n">
        <v>0</v>
      </c>
      <c r="Y294" t="inlineStr">
        <is>
          <t>7.00%</t>
        </is>
      </c>
      <c r="AB294" t="inlineStr">
        <is>
          <t>Dec-27</t>
        </is>
      </c>
      <c r="AC294" t="inlineStr">
        <is>
          <t>Dec - 27</t>
        </is>
      </c>
    </row>
    <row r="295">
      <c r="E295" t="inlineStr">
        <is>
          <t>Gopalpur - Gopalpur (OPTCL) 400 kV D/c (Quad) line</t>
        </is>
      </c>
      <c r="P295" t="inlineStr">
        <is>
          <t>Nov-24</t>
        </is>
      </c>
      <c r="Q295" t="n">
        <v>51</v>
      </c>
      <c r="R295" t="n">
        <v>32</v>
      </c>
      <c r="S295" t="n">
        <v>0</v>
      </c>
      <c r="T295" t="n">
        <v>0</v>
      </c>
      <c r="U295" t="n">
        <v>0</v>
      </c>
      <c r="V295" t="n">
        <v>0</v>
      </c>
      <c r="W295" t="n">
        <v>0</v>
      </c>
      <c r="X295" t="n">
        <v>0</v>
      </c>
      <c r="Y295" t="inlineStr">
        <is>
          <t>0.00%</t>
        </is>
      </c>
      <c r="AB295" t="inlineStr">
        <is>
          <t>Dec-27</t>
        </is>
      </c>
      <c r="AC295" t="inlineStr">
        <is>
          <t>Dec - 27</t>
        </is>
      </c>
    </row>
    <row r="296">
      <c r="E296" t="inlineStr">
        <is>
          <t>Extension at 765 kV level at Angul (PG) S/s including bus extension in
GIS</t>
        </is>
      </c>
      <c r="P296" t="inlineStr">
        <is>
          <t>Nov-24</t>
        </is>
      </c>
      <c r="Y296" t="inlineStr">
        <is>
          <t>0.00%</t>
        </is>
      </c>
      <c r="AB296" t="inlineStr">
        <is>
          <t>Dec-27</t>
        </is>
      </c>
      <c r="AC296" t="inlineStr">
        <is>
          <t>Dec - 27</t>
        </is>
      </c>
      <c r="AD296" t="inlineStr">
        <is>
          <t>Delay in issuance of tree cutting permission for commencement of 765 kV bay
extension works in the premises of PGCIL. FM Notice has been issued.</t>
        </is>
      </c>
    </row>
    <row r="297">
      <c r="E297" t="inlineStr">
        <is>
          <t>Extension at 400 kV level at Gopalpur (OPTCL) GIS S/s</t>
        </is>
      </c>
      <c r="P297" t="inlineStr">
        <is>
          <t>Nov-24</t>
        </is>
      </c>
      <c r="Y297" t="inlineStr">
        <is>
          <t>0.00%</t>
        </is>
      </c>
      <c r="AB297" t="inlineStr">
        <is>
          <t>Dec-27</t>
        </is>
      </c>
      <c r="AC297" t="inlineStr">
        <is>
          <t>Dec - 27</t>
        </is>
      </c>
    </row>
    <row r="298">
      <c r="E298" t="inlineStr">
        <is>
          <t>Eastern Region Expansion Scheme ERES-XXXIV : Paradeep</t>
        </is>
      </c>
      <c r="P298" t="inlineStr">
        <is>
          <t>Nov-24</t>
        </is>
      </c>
      <c r="AB298" t="inlineStr">
        <is>
          <t>Nov-26</t>
        </is>
      </c>
      <c r="AC298" t="inlineStr">
        <is>
          <t>Nov - 26</t>
        </is>
      </c>
    </row>
    <row r="299">
      <c r="E299" t="inlineStr">
        <is>
          <t>Establishment of Paradeep 765/400 kV, 2x1500 MVA GIS substation</t>
        </is>
      </c>
      <c r="P299" t="inlineStr">
        <is>
          <t>Nov-24</t>
        </is>
      </c>
      <c r="Y299" t="inlineStr">
        <is>
          <t>0.00%</t>
        </is>
      </c>
      <c r="AB299" t="inlineStr">
        <is>
          <t>Nov-26</t>
        </is>
      </c>
      <c r="AC299" t="inlineStr">
        <is>
          <t>Nov - 26</t>
        </is>
      </c>
      <c r="AD299" t="inlineStr">
        <is>
          <t>Handover of identified land parcel at Jagatsinghpur for Paradeep substation
accepted by Revenue Divisional Commissioner on 10.10.2025 and has been
forwarded for approval from Revenue Secretary &amp; subsequently Higher Level
Committee.</t>
        </is>
      </c>
    </row>
    <row r="300">
      <c r="E300" t="inlineStr">
        <is>
          <t>Angul (POWERGRID) – Paradeep 765 kV D/c line</t>
        </is>
      </c>
      <c r="P300" t="inlineStr">
        <is>
          <t>Nov-24</t>
        </is>
      </c>
      <c r="Q300" t="n">
        <v>179</v>
      </c>
      <c r="R300" t="n">
        <v>477</v>
      </c>
      <c r="S300" t="n">
        <v>92</v>
      </c>
      <c r="T300" t="n">
        <v>1</v>
      </c>
      <c r="U300" t="n">
        <v>0</v>
      </c>
      <c r="V300" t="n">
        <v>0.19</v>
      </c>
      <c r="W300" t="n">
        <v>0</v>
      </c>
      <c r="X300" t="n">
        <v>0</v>
      </c>
      <c r="Y300" t="inlineStr">
        <is>
          <t>20.00%</t>
        </is>
      </c>
      <c r="AB300" t="inlineStr">
        <is>
          <t>Nov-26</t>
        </is>
      </c>
      <c r="AC300" t="inlineStr">
        <is>
          <t>Nov - 26</t>
        </is>
      </c>
      <c r="AD300" t="inlineStr">
        <is>
          <t>Delay in receipt of NOC for revised route from the Aviation Research Center (ARC)
affecting civil foundation work at 14 Nos. locations.</t>
        </is>
      </c>
    </row>
    <row r="301">
      <c r="E301" t="inlineStr">
        <is>
          <t>Paradeep – Paradeep (OPTCL) 400 kV D/c (Quad) line</t>
        </is>
      </c>
      <c r="P301" t="inlineStr">
        <is>
          <t>Nov-24</t>
        </is>
      </c>
      <c r="Q301" t="n">
        <v>13</v>
      </c>
      <c r="R301" t="n">
        <v>31</v>
      </c>
      <c r="S301" t="n">
        <v>0</v>
      </c>
      <c r="T301" t="n">
        <v>0</v>
      </c>
      <c r="U301" t="n">
        <v>0</v>
      </c>
      <c r="V301" t="n">
        <v>0</v>
      </c>
      <c r="W301" t="n">
        <v>0</v>
      </c>
      <c r="X301" t="n">
        <v>0</v>
      </c>
      <c r="Y301" t="inlineStr">
        <is>
          <t>0.00%</t>
        </is>
      </c>
      <c r="AB301" t="inlineStr">
        <is>
          <t>Nov-26</t>
        </is>
      </c>
      <c r="AC301" t="inlineStr">
        <is>
          <t>Nov - 26</t>
        </is>
      </c>
      <c r="AD301" t="inlineStr">
        <is>
          <t>Tower foundation work is planned to commence from December, 2025 onwards.</t>
        </is>
      </c>
    </row>
    <row r="302">
      <c r="E302" t="inlineStr">
        <is>
          <t>Transmission Scheme for Solar Energy Zone in Gadag (1500 MW),
Karnataka – Part-A, Phase-II
(CKM-100, MVA-1500) (SPV:Gadag-IIA Transmisison Ltd.)</t>
        </is>
      </c>
      <c r="P302" t="inlineStr">
        <is>
          <t>Nov-22</t>
        </is>
      </c>
      <c r="AB302" t="inlineStr">
        <is>
          <t>May-24</t>
        </is>
      </c>
      <c r="AC302" t="inlineStr">
        <is>
          <t>Jan - 26</t>
        </is>
      </c>
    </row>
    <row r="303">
      <c r="E303" t="inlineStr">
        <is>
          <t>Gadag Pooling station – Koppal PS 400 kV D/C line</t>
        </is>
      </c>
      <c r="P303" t="inlineStr">
        <is>
          <t>Nov-22</t>
        </is>
      </c>
      <c r="Q303" t="n">
        <v>100</v>
      </c>
      <c r="R303" t="n">
        <v>127</v>
      </c>
      <c r="S303" t="n">
        <v>110</v>
      </c>
      <c r="T303" t="n">
        <v>105</v>
      </c>
      <c r="U303" t="n">
        <v>72.72</v>
      </c>
      <c r="V303" t="n">
        <v>0.87</v>
      </c>
      <c r="W303" t="n">
        <v>0.83</v>
      </c>
      <c r="X303" t="n">
        <v>0.73</v>
      </c>
      <c r="AB303" t="inlineStr">
        <is>
          <t>May-24</t>
        </is>
      </c>
      <c r="AC303" t="inlineStr">
        <is>
          <t>Jan - 26</t>
        </is>
      </c>
      <c r="AD303" t="inlineStr">
        <is>
          <t>Foundation RoW (13 loc.): District Koppal, Taluka Kuknoor, village Tadkal (13 Loc)
Erection RoW (01 loc.): District Koppal, Taluka Kuknoor , village Tadkal (01 Loc) in
Karnataka.</t>
        </is>
      </c>
    </row>
    <row r="304">
      <c r="E304" t="inlineStr">
        <is>
          <t>400/220 kV, 3x500MVA ICT Augmentation at Gadag</t>
        </is>
      </c>
      <c r="P304" t="inlineStr">
        <is>
          <t>Nov-22</t>
        </is>
      </c>
      <c r="Y304" t="inlineStr">
        <is>
          <t>100.00%</t>
        </is>
      </c>
      <c r="Z304" t="inlineStr">
        <is>
          <t>100.00%</t>
        </is>
      </c>
      <c r="AA304" t="inlineStr">
        <is>
          <t>100.00%</t>
        </is>
      </c>
      <c r="AB304" t="inlineStr">
        <is>
          <t>May-24</t>
        </is>
      </c>
      <c r="AC304" t="inlineStr">
        <is>
          <t>Oct - 25</t>
        </is>
      </c>
      <c r="AD304" t="inlineStr">
        <is>
          <t>Work completed.</t>
        </is>
      </c>
    </row>
    <row r="305">
      <c r="E305" t="inlineStr">
        <is>
          <t>Western Region Expansion Scheme XXXIII (WRES-XXXIII): Part C
(CKM-10, MVA-4000)</t>
        </is>
      </c>
      <c r="P305" t="inlineStr">
        <is>
          <t>Feb-24</t>
        </is>
      </c>
      <c r="AB305" t="inlineStr">
        <is>
          <t>Feb-26</t>
        </is>
      </c>
      <c r="AC305" t="inlineStr">
        <is>
          <t>Jun - 26</t>
        </is>
      </c>
    </row>
    <row r="306">
      <c r="E306" t="inlineStr">
        <is>
          <t>LILO of one circuit of Jabalpur – Orai 765 kV D/c line at Ishanagar
765 kV S/s</t>
        </is>
      </c>
      <c r="P306" t="inlineStr">
        <is>
          <t>Feb-24</t>
        </is>
      </c>
      <c r="Q306" t="n">
        <v>35</v>
      </c>
      <c r="R306" t="n">
        <v>45</v>
      </c>
      <c r="S306" t="n">
        <v>19</v>
      </c>
      <c r="T306" t="n">
        <v>1</v>
      </c>
      <c r="V306" t="n">
        <v>0.42</v>
      </c>
      <c r="W306" t="n">
        <v>0.02</v>
      </c>
      <c r="X306" t="n">
        <v>0</v>
      </c>
      <c r="AB306" t="inlineStr">
        <is>
          <t>Feb-26</t>
        </is>
      </c>
      <c r="AC306" t="inlineStr">
        <is>
          <t>Jun - 26</t>
        </is>
      </c>
      <c r="AD306" t="inlineStr">
        <is>
          <t>Work under progress</t>
        </is>
      </c>
    </row>
    <row r="307">
      <c r="E307" t="inlineStr">
        <is>
          <t>2x1500 MVA, 765/400 kV and 2x500 MVA, 400/220 kV S/s at
Ishanagar (New)</t>
        </is>
      </c>
      <c r="P307" t="inlineStr">
        <is>
          <t>Feb-24</t>
        </is>
      </c>
      <c r="Y307" t="inlineStr">
        <is>
          <t>2.00%</t>
        </is>
      </c>
      <c r="AB307" t="inlineStr">
        <is>
          <t>Feb-26</t>
        </is>
      </c>
      <c r="AC307" t="inlineStr">
        <is>
          <t>Jun - 26</t>
        </is>
      </c>
      <c r="AD307" t="inlineStr">
        <is>
          <t>Land (157.67 Acre): Pending (30 Acre)
Govt. (18.46 Acre): Pending (18.46 Acre) in Chhtarpur District, Govt of MP has
issued the working permission for Govt. land vide letter dated 16th Oct’25 for
18.46 Acres.
Pvt. (139.21 Acre): Pending (7.21Acre). Registration of 132Acres of Pvt. land
completed acqusition of balance land is in Progress.
Civil works started on ICT, Reactor, SPR &amp; Gantry Towers</t>
        </is>
      </c>
    </row>
    <row r="308">
      <c r="E308" t="inlineStr">
        <is>
          <t>Transmission scheme for evacuation of Power from Dhule 2 GW
REZ
(CKM-120, MVA-2000)</t>
        </is>
      </c>
      <c r="P308" t="inlineStr">
        <is>
          <t>Feb-24</t>
        </is>
      </c>
      <c r="AB308" t="inlineStr">
        <is>
          <t>Feb-26</t>
        </is>
      </c>
      <c r="AC308" t="inlineStr">
        <is>
          <t>Feb - 26</t>
        </is>
      </c>
    </row>
    <row r="309">
      <c r="E309" t="inlineStr">
        <is>
          <t>Dhule PS – Dhule (BDTCL) 400 kV D/c line</t>
        </is>
      </c>
      <c r="P309" t="inlineStr">
        <is>
          <t>Feb-24</t>
        </is>
      </c>
      <c r="Q309" t="n">
        <v>131</v>
      </c>
      <c r="R309" t="n">
        <v>178</v>
      </c>
      <c r="S309" t="n">
        <v>58</v>
      </c>
      <c r="T309" t="n">
        <v>25</v>
      </c>
      <c r="U309" t="n">
        <v>0</v>
      </c>
      <c r="V309" t="n">
        <v>0.33</v>
      </c>
      <c r="W309" t="n">
        <v>0.14</v>
      </c>
      <c r="X309" t="n">
        <v>0</v>
      </c>
      <c r="AB309" t="inlineStr">
        <is>
          <t>Feb-26</t>
        </is>
      </c>
      <c r="AC309" t="inlineStr">
        <is>
          <t>Feb - 26</t>
        </is>
      </c>
      <c r="AD309" t="inlineStr">
        <is>
          <t>RoW (10) : Dhule (10).
Forest (25.0593 Ha, 16 Loc, 10.80 ckm) in the State of Maharashtra. Stage-I is
pending. Part I and Part II filing done, file is forwarded to State Secretary Forest
for signing.</t>
        </is>
      </c>
    </row>
    <row r="310">
      <c r="E310" t="inlineStr">
        <is>
          <t>4x500 MVA, 400/220 kV Pooling Station near Dhule (New)</t>
        </is>
      </c>
      <c r="P310" t="inlineStr">
        <is>
          <t>Feb-24</t>
        </is>
      </c>
      <c r="Y310" t="inlineStr">
        <is>
          <t>39.00%</t>
        </is>
      </c>
      <c r="AB310" t="inlineStr">
        <is>
          <t>Feb-26</t>
        </is>
      </c>
      <c r="AC310" t="inlineStr">
        <is>
          <t>Feb - 26</t>
        </is>
      </c>
      <c r="AD310" t="inlineStr">
        <is>
          <t>Works in progress</t>
        </is>
      </c>
    </row>
    <row r="311">
      <c r="E311" t="inlineStr">
        <is>
          <t>Western Region Network Expansion Scheme in Kallam area of
Maharashtra</t>
        </is>
      </c>
      <c r="P311" t="inlineStr">
        <is>
          <t>Apr-24</t>
        </is>
      </c>
      <c r="AB311" t="inlineStr">
        <is>
          <t>Oct-25</t>
        </is>
      </c>
      <c r="AC311" t="inlineStr">
        <is>
          <t>Dec - 25</t>
        </is>
      </c>
    </row>
    <row r="312">
      <c r="E312" t="inlineStr">
        <is>
          <t>LILO of both circuits of Parli(M) – Karjat(M)/Lonikand-II (M) 400 kV
D/c line (twin moose) at Kallam PS</t>
        </is>
      </c>
      <c r="P312" t="inlineStr">
        <is>
          <t>Apr-24</t>
        </is>
      </c>
      <c r="Q312" t="n">
        <v>54</v>
      </c>
      <c r="R312" t="n">
        <v>41</v>
      </c>
      <c r="S312" t="n">
        <v>11</v>
      </c>
      <c r="T312" t="n">
        <v>2</v>
      </c>
      <c r="V312" t="n">
        <v>0.27</v>
      </c>
      <c r="W312" t="n">
        <v>0.05</v>
      </c>
      <c r="X312" t="n">
        <v>0</v>
      </c>
      <c r="AB312" t="inlineStr">
        <is>
          <t>Oct-25</t>
        </is>
      </c>
      <c r="AC312" t="inlineStr">
        <is>
          <t>Dec - 25</t>
        </is>
      </c>
      <c r="AD312" t="inlineStr">
        <is>
          <t>Substation element commissioned on 28th Sep'25. RoW resolution with support
from administration ongoing.</t>
        </is>
      </c>
    </row>
    <row r="313">
      <c r="E313" t="inlineStr">
        <is>
          <t>Ratle HEP (850 MW) &amp; Kiru HEP (624 MW): Part-A
(SPV: Ratle Kiru Power Transmission Limited)</t>
        </is>
      </c>
      <c r="P313" t="inlineStr">
        <is>
          <t>Mar-25</t>
        </is>
      </c>
      <c r="AB313" t="inlineStr">
        <is>
          <t>Mar-27</t>
        </is>
      </c>
      <c r="AC313" t="inlineStr">
        <is>
          <t>Mar - 27</t>
        </is>
      </c>
    </row>
    <row r="314">
      <c r="E314" t="inlineStr">
        <is>
          <t>LILO of 400 kV Kishenpur-Dulhasti line at Kishtwar S/s</t>
        </is>
      </c>
      <c r="P314" t="inlineStr">
        <is>
          <t>Mar-25</t>
        </is>
      </c>
      <c r="Q314" t="n">
        <v>2</v>
      </c>
      <c r="R314" t="n">
        <v>14</v>
      </c>
      <c r="V314" t="n">
        <v>0</v>
      </c>
      <c r="W314" t="n">
        <v>0</v>
      </c>
      <c r="X314" t="n">
        <v>0</v>
      </c>
      <c r="AB314" t="inlineStr">
        <is>
          <t>Mar-27</t>
        </is>
      </c>
      <c r="AC314" t="inlineStr">
        <is>
          <t>Mar - 27</t>
        </is>
      </c>
      <c r="AD314" t="inlineStr">
        <is>
          <t>Check Survey is completed.</t>
        </is>
      </c>
    </row>
    <row r="315">
      <c r="E315" t="inlineStr">
        <is>
          <t>400 kV Kishenpur-Samba D/C line .</t>
        </is>
      </c>
      <c r="P315" t="inlineStr">
        <is>
          <t>Mar-25</t>
        </is>
      </c>
      <c r="Q315" t="n">
        <v>70</v>
      </c>
      <c r="R315" t="n">
        <v>122</v>
      </c>
      <c r="S315" t="n">
        <v>10</v>
      </c>
      <c r="V315" t="n">
        <v>0.08</v>
      </c>
      <c r="W315" t="n">
        <v>0</v>
      </c>
      <c r="X315" t="n">
        <v>0</v>
      </c>
      <c r="AB315" t="inlineStr">
        <is>
          <t>Mar-27</t>
        </is>
      </c>
      <c r="AC315" t="inlineStr">
        <is>
          <t>Mar - 27</t>
        </is>
      </c>
      <c r="AD315" t="inlineStr">
        <is>
          <t>Foundation Work Started. All statutory proposal and forest diversion proposal
submitted</t>
        </is>
      </c>
    </row>
    <row r="316">
      <c r="E316" t="inlineStr">
        <is>
          <t>Bypassing of one ckt of 400 kV Kishtwar – Kishenpur 400kV D/C line
at Kishenpur and connecting it with one of the circuit of Kishenpur-
Samba 400 kV D/C line, thus forming 400 kV Kishtwar - Samba direct
line (one ckt)</t>
        </is>
      </c>
      <c r="P316" t="inlineStr">
        <is>
          <t>Mar-25</t>
        </is>
      </c>
      <c r="AB316" t="inlineStr">
        <is>
          <t>Mar-27</t>
        </is>
      </c>
      <c r="AC316" t="inlineStr">
        <is>
          <t>Mar - 27</t>
        </is>
      </c>
      <c r="AD316" t="inlineStr">
        <is>
          <t>Check Survey completed.</t>
        </is>
      </c>
    </row>
    <row r="317">
      <c r="E317" t="inlineStr">
        <is>
          <t>400 kV Samba- Jalandhar D/C line</t>
        </is>
      </c>
      <c r="P317" t="inlineStr">
        <is>
          <t>Mar-25</t>
        </is>
      </c>
      <c r="Q317" t="n">
        <v>299</v>
      </c>
      <c r="R317" t="n">
        <v>397</v>
      </c>
      <c r="S317" t="n">
        <v>61</v>
      </c>
      <c r="V317" t="n">
        <v>0.15</v>
      </c>
      <c r="W317" t="n">
        <v>0</v>
      </c>
      <c r="X317" t="n">
        <v>0</v>
      </c>
      <c r="AB317" t="inlineStr">
        <is>
          <t>Mar-27</t>
        </is>
      </c>
      <c r="AC317" t="inlineStr">
        <is>
          <t>Mar - 27</t>
        </is>
      </c>
      <c r="AD317" t="inlineStr">
        <is>
          <t>Foundation Work Started. All statutory proposal and forest diversion proposal
submitted</t>
        </is>
      </c>
    </row>
    <row r="318">
      <c r="E318" t="inlineStr">
        <is>
          <t>Bypassing 400 kV Jalandhar – Nakodar line at Jalandhar and
connecting it with one of the circuit of Samba-Jalandhar 400 kV D/C
line, thus forming 400 kV Samba – Nakodar direct line</t>
        </is>
      </c>
      <c r="P318" t="inlineStr">
        <is>
          <t>Mar-25</t>
        </is>
      </c>
      <c r="AB318" t="inlineStr">
        <is>
          <t>Mar-27</t>
        </is>
      </c>
      <c r="AC318" t="inlineStr">
        <is>
          <t>Mar - 27</t>
        </is>
      </c>
      <c r="AD318" t="inlineStr">
        <is>
          <t>Check Survey completed.</t>
        </is>
      </c>
    </row>
    <row r="319">
      <c r="E319" t="inlineStr">
        <is>
          <t>Transmission system for evacuation of power from RE projects in
Rajgarh (1000 MW) SEZ in Madhya Pradesh-Phase II
(CKM-120, MVA-1500)</t>
        </is>
      </c>
      <c r="P319" t="inlineStr">
        <is>
          <t>Feb-24</t>
        </is>
      </c>
      <c r="AB319" t="inlineStr">
        <is>
          <t>Feb-26</t>
        </is>
      </c>
      <c r="AC319" t="inlineStr">
        <is>
          <t>Mar - 26</t>
        </is>
      </c>
    </row>
    <row r="320">
      <c r="E320" t="inlineStr">
        <is>
          <t>Pachora PS – Ujjain (MPPTCL) 400 kV D/c line</t>
        </is>
      </c>
      <c r="P320" t="inlineStr">
        <is>
          <t>Feb-24</t>
        </is>
      </c>
      <c r="Q320" t="n">
        <v>118</v>
      </c>
      <c r="R320" t="n">
        <v>145</v>
      </c>
      <c r="S320" t="n">
        <v>134</v>
      </c>
      <c r="T320" t="n">
        <v>113</v>
      </c>
      <c r="U320" t="n">
        <v>19.01</v>
      </c>
      <c r="V320" t="n">
        <v>0.92</v>
      </c>
      <c r="W320" t="n">
        <v>0.78</v>
      </c>
      <c r="X320" t="n">
        <v>0.16</v>
      </c>
      <c r="Z320" t="inlineStr">
        <is>
          <t>99.00%</t>
        </is>
      </c>
      <c r="AB320" t="inlineStr">
        <is>
          <t>Feb-26</t>
        </is>
      </c>
      <c r="AC320" t="inlineStr">
        <is>
          <t>Mar - 26</t>
        </is>
      </c>
      <c r="AD320" t="inlineStr">
        <is>
          <t>RoW (12 locs.): Agar Malwa (Fdn-9 Nos &amp; Erection-1 Nos), Ujjain (Stringing-2 Locs)
Forest &amp; WLC: Nil
Status of receipt of Conductors- 1440/1440 kms -completed
Tower material: 3697/3772 MT, Balance tower to be supplied till 15th Dec’25</t>
        </is>
      </c>
    </row>
    <row r="321">
      <c r="E321" t="inlineStr">
        <is>
          <t>400/220 kV, 3x500 MVA ICT augmentation (4th, 5th and 6th) at
Pachora PS.</t>
        </is>
      </c>
      <c r="P321" t="inlineStr">
        <is>
          <t>Feb-24</t>
        </is>
      </c>
      <c r="Y321" t="inlineStr">
        <is>
          <t>87.00%</t>
        </is>
      </c>
      <c r="Z321" t="inlineStr">
        <is>
          <t>96.00%</t>
        </is>
      </c>
      <c r="AA321" t="inlineStr">
        <is>
          <t>55.00%</t>
        </is>
      </c>
      <c r="AB321" t="inlineStr">
        <is>
          <t>Feb-26</t>
        </is>
      </c>
      <c r="AC321" t="inlineStr">
        <is>
          <t>Mar - 26</t>
        </is>
      </c>
      <c r="AD321" t="inlineStr">
        <is>
          <t>Land (11 Acre): 100%
Govt.: 100% acquire in Ujjain SS.
Pvt: 100% at lease for 35 years, SS Agar Malwa, Dist.- Agar Malwa -Completed</t>
        </is>
      </c>
    </row>
    <row r="322">
      <c r="E322" t="inlineStr">
        <is>
          <t>Transmission scheme for integration of Tumkur-II REZ in
Karnataka</t>
        </is>
      </c>
      <c r="P322" t="inlineStr">
        <is>
          <t>Sep-24</t>
        </is>
      </c>
      <c r="AB322" t="inlineStr">
        <is>
          <t>Sep-26</t>
        </is>
      </c>
      <c r="AC322" t="inlineStr">
        <is>
          <t>Sep - 26</t>
        </is>
      </c>
    </row>
    <row r="323">
      <c r="E323" t="inlineStr">
        <is>
          <t>Establishment of 400/220 kV 4x500 MVA Pooling Station near
Tumkur, Karnatak</t>
        </is>
      </c>
      <c r="P323" t="inlineStr">
        <is>
          <t>Sep-24</t>
        </is>
      </c>
      <c r="Y323" t="inlineStr">
        <is>
          <t>40.00%</t>
        </is>
      </c>
      <c r="Z323" t="inlineStr">
        <is>
          <t>0.00%</t>
        </is>
      </c>
      <c r="AA323" t="inlineStr">
        <is>
          <t>0.00%</t>
        </is>
      </c>
      <c r="AB323" t="inlineStr">
        <is>
          <t>Sep-26</t>
        </is>
      </c>
      <c r="AC323" t="inlineStr">
        <is>
          <t>Sep - 26</t>
        </is>
      </c>
      <c r="AD323" t="inlineStr">
        <is>
          <t>Land: 70 Acre acquired. Status of receipt of Transformers/Reactors: Expected by
30.04.2026</t>
        </is>
      </c>
    </row>
    <row r="324">
      <c r="E324" t="inlineStr">
        <is>
          <t>Tumkur-II – Tumkur (Pavagada) line 400 kV (Quad ACSR moose) D/c
line.</t>
        </is>
      </c>
      <c r="P324" t="inlineStr">
        <is>
          <t>Sep-24</t>
        </is>
      </c>
      <c r="Q324" t="n">
        <v>53</v>
      </c>
      <c r="R324" t="n">
        <v>73</v>
      </c>
      <c r="S324" t="n">
        <v>15</v>
      </c>
      <c r="T324" t="n">
        <v>0</v>
      </c>
      <c r="U324" t="n">
        <v>0</v>
      </c>
      <c r="V324" t="n">
        <v>0.21</v>
      </c>
      <c r="W324" t="n">
        <v>0</v>
      </c>
      <c r="X324" t="n">
        <v>0</v>
      </c>
      <c r="AB324" t="inlineStr">
        <is>
          <t>Sep-26</t>
        </is>
      </c>
      <c r="AC324" t="inlineStr">
        <is>
          <t>Sep - 26</t>
        </is>
      </c>
      <c r="AD324" t="inlineStr">
        <is>
          <t>Status of receipt of conductors/Tower material: Conductor (680 Kms/ 680 Kms ).
Tower material: 40/1672 MT;balance expected by 31.01.2026.</t>
        </is>
      </c>
    </row>
    <row r="325">
      <c r="E325" t="inlineStr">
        <is>
          <t>Transmission Scheme for integration of Bijapur REZ in Karnataka
(SPV: Bijapur REZ Transmission Limited)</t>
        </is>
      </c>
      <c r="P325" t="inlineStr">
        <is>
          <t>Jan-25</t>
        </is>
      </c>
      <c r="AB325" t="inlineStr">
        <is>
          <t>Jan-27</t>
        </is>
      </c>
      <c r="AC325" t="inlineStr">
        <is>
          <t>Jan - 27</t>
        </is>
      </c>
    </row>
    <row r="326">
      <c r="E326" t="inlineStr">
        <is>
          <t>Establishment of 400/220 kV, 5x500 MVA Pooling Station near
Bijapur (Vijayapura), Karnataka</t>
        </is>
      </c>
      <c r="P326" t="inlineStr">
        <is>
          <t>Jan-25</t>
        </is>
      </c>
      <c r="Y326" t="inlineStr">
        <is>
          <t>0.00%</t>
        </is>
      </c>
      <c r="Z326" t="inlineStr">
        <is>
          <t>0.00%</t>
        </is>
      </c>
      <c r="AA326" t="inlineStr">
        <is>
          <t>0.00%</t>
        </is>
      </c>
      <c r="AB326" t="inlineStr">
        <is>
          <t>Jan-27</t>
        </is>
      </c>
      <c r="AC326" t="inlineStr">
        <is>
          <t>Jan - 27</t>
        </is>
      </c>
      <c r="AD326" t="inlineStr">
        <is>
          <t>Land (65 Acre): Pvt. (65 Acre): 100% acquisition done.
Status of receipt of Transformers/ Reactors: Expected by 31.10.2026</t>
        </is>
      </c>
    </row>
    <row r="327">
      <c r="E327" t="inlineStr">
        <is>
          <t>Bijapur PS – Raichur New 400kV (Quad ACSR moose) D/c line</t>
        </is>
      </c>
      <c r="P327" t="inlineStr">
        <is>
          <t>Jan-25</t>
        </is>
      </c>
      <c r="Q327" t="n">
        <v>276</v>
      </c>
      <c r="R327" t="n">
        <v>360</v>
      </c>
      <c r="S327" t="n">
        <v>21</v>
      </c>
      <c r="T327" t="n">
        <v>0</v>
      </c>
      <c r="U327" t="n">
        <v>0</v>
      </c>
      <c r="V327" t="n">
        <v>0.06</v>
      </c>
      <c r="W327" t="n">
        <v>0</v>
      </c>
      <c r="X327" t="n">
        <v>0</v>
      </c>
      <c r="AB327" t="inlineStr">
        <is>
          <t>Jan-27</t>
        </is>
      </c>
      <c r="AC327" t="inlineStr">
        <is>
          <t>Jan - 27</t>
        </is>
      </c>
      <c r="AD327" t="inlineStr">
        <is>
          <t>Status of receipt of conductors/Tower material: Expected by 30.05.2026</t>
        </is>
      </c>
    </row>
    <row r="328">
      <c r="E328" t="inlineStr">
        <is>
          <t>Transmission system for Evacuation of Power from RE Projects in
Rajgarh (1500 MW) SEZ in Madhya Pradesh-Phase III and
Evacuation of Power from RE Projects in Neemuch (1000 MW) SEZ
in Madhya Pradesh-Phase II (SPV:M/s G R Infra Projects Limited)</t>
        </is>
      </c>
      <c r="P328" t="inlineStr">
        <is>
          <t>Sep-25</t>
        </is>
      </c>
      <c r="AB328" t="inlineStr">
        <is>
          <t>Sep-27</t>
        </is>
      </c>
      <c r="AC328" t="inlineStr">
        <is>
          <t>Sep - 27</t>
        </is>
      </c>
    </row>
    <row r="329">
      <c r="E329" t="inlineStr">
        <is>
          <t>Creation of New 220 kV Bus Section with 220 kV Bus Sectionaliser
and 400/220 kV, 3x500 MVA ICT augmentation at Pachora PS.</t>
        </is>
      </c>
      <c r="P329" t="inlineStr">
        <is>
          <t>Sep-25</t>
        </is>
      </c>
      <c r="Y329" t="inlineStr">
        <is>
          <t>0.00%</t>
        </is>
      </c>
      <c r="Z329" t="inlineStr">
        <is>
          <t>0.00%</t>
        </is>
      </c>
      <c r="AA329" t="inlineStr">
        <is>
          <t>0.00%</t>
        </is>
      </c>
      <c r="AB329" t="inlineStr">
        <is>
          <t>Sep-27</t>
        </is>
      </c>
      <c r="AC329" t="inlineStr">
        <is>
          <t>Sep - 27</t>
        </is>
      </c>
      <c r="AD329" t="inlineStr">
        <is>
          <t>Land (11.357 Acre - Private): 3.357 Acquired</t>
        </is>
      </c>
    </row>
    <row r="330">
      <c r="E330" t="inlineStr">
        <is>
          <t>Pachora PS – Rajgarh(PG) 400 kV D/c line</t>
        </is>
      </c>
      <c r="P330" t="inlineStr">
        <is>
          <t>Sep-25</t>
        </is>
      </c>
      <c r="Q330" t="n">
        <v>185</v>
      </c>
      <c r="S330" t="n">
        <v>0</v>
      </c>
      <c r="T330" t="n">
        <v>0</v>
      </c>
      <c r="U330" t="n">
        <v>0</v>
      </c>
      <c r="X330" t="n">
        <v>0</v>
      </c>
      <c r="AB330" t="inlineStr">
        <is>
          <t>Sep-27</t>
        </is>
      </c>
      <c r="AC330" t="inlineStr">
        <is>
          <t>Sep - 27</t>
        </is>
      </c>
      <c r="AD330" t="inlineStr">
        <is>
          <t>Eco Sensitive Zone: 39.1 Ha (Estimated)</t>
        </is>
      </c>
    </row>
    <row r="331">
      <c r="E331" t="inlineStr">
        <is>
          <t>Creation of New 220 kV Bus Section-II at Neemuch PS with
Augmentation of transformation capacity by 3x500 MVA, 400/220
kV ICTs at Neemuch S/s.</t>
        </is>
      </c>
      <c r="P331" t="inlineStr">
        <is>
          <t>Sep-25</t>
        </is>
      </c>
      <c r="Y331" t="inlineStr">
        <is>
          <t>0.00%</t>
        </is>
      </c>
      <c r="Z331" t="inlineStr">
        <is>
          <t>0.00%</t>
        </is>
      </c>
      <c r="AA331" t="inlineStr">
        <is>
          <t>0.00%</t>
        </is>
      </c>
      <c r="AB331" t="inlineStr">
        <is>
          <t>Sep-27</t>
        </is>
      </c>
      <c r="AC331" t="inlineStr">
        <is>
          <t>Sep - 27</t>
        </is>
      </c>
    </row>
    <row r="332">
      <c r="E332" t="inlineStr">
        <is>
          <t>Neemuch PS – Pachora PS 400 kV D/c line.</t>
        </is>
      </c>
      <c r="P332" t="inlineStr">
        <is>
          <t>Sep-25</t>
        </is>
      </c>
      <c r="Q332" t="n">
        <v>221</v>
      </c>
      <c r="S332" t="n">
        <v>0</v>
      </c>
      <c r="T332" t="n">
        <v>0</v>
      </c>
      <c r="U332" t="n">
        <v>0</v>
      </c>
      <c r="X332" t="n">
        <v>0</v>
      </c>
      <c r="AB332" t="inlineStr">
        <is>
          <t>Sep-27</t>
        </is>
      </c>
      <c r="AC332" t="inlineStr">
        <is>
          <t>Sep - 27</t>
        </is>
      </c>
      <c r="AD332" t="inlineStr">
        <is>
          <t>Forest: 79.80 Ha (Estimated)</t>
        </is>
      </c>
    </row>
    <row r="333">
      <c r="E333" t="inlineStr">
        <is>
          <t>Establishment of 2x500 MVA, 400/220 kV S/s at Handiya.</t>
        </is>
      </c>
      <c r="P333" t="inlineStr">
        <is>
          <t>Sep-25</t>
        </is>
      </c>
      <c r="Y333" t="inlineStr">
        <is>
          <t>0.00%</t>
        </is>
      </c>
      <c r="Z333" t="inlineStr">
        <is>
          <t>0.00%</t>
        </is>
      </c>
      <c r="AA333" t="inlineStr">
        <is>
          <t>0.00%</t>
        </is>
      </c>
      <c r="AB333" t="inlineStr">
        <is>
          <t>Sep-27</t>
        </is>
      </c>
      <c r="AC333" t="inlineStr">
        <is>
          <t>Sep - 27</t>
        </is>
      </c>
      <c r="AD333" t="inlineStr">
        <is>
          <t>Land (40 Acre): Land acquisition under process.</t>
        </is>
      </c>
    </row>
    <row r="334">
      <c r="E334" t="inlineStr">
        <is>
          <t>Pachora PS – Handiya 400 kV D/c line.</t>
        </is>
      </c>
      <c r="P334" t="inlineStr">
        <is>
          <t>Sep-25</t>
        </is>
      </c>
      <c r="Q334" t="n">
        <v>214</v>
      </c>
      <c r="S334" t="n">
        <v>0</v>
      </c>
      <c r="T334" t="n">
        <v>0</v>
      </c>
      <c r="U334" t="n">
        <v>0</v>
      </c>
      <c r="X334" t="n">
        <v>0</v>
      </c>
      <c r="AB334" t="inlineStr">
        <is>
          <t>Sep-27</t>
        </is>
      </c>
      <c r="AC334" t="inlineStr">
        <is>
          <t>Sep - 27</t>
        </is>
      </c>
      <c r="AD334" t="inlineStr">
        <is>
          <t>Forest: 24.01 Ha (Estimated)</t>
        </is>
      </c>
    </row>
    <row r="335">
      <c r="E335" t="inlineStr">
        <is>
          <t>LILO of Khandwa (PG) – Itarsi (PG) 400 kV D/c line at Handiya S/s.</t>
        </is>
      </c>
      <c r="P335" t="inlineStr">
        <is>
          <t>Sep-25</t>
        </is>
      </c>
      <c r="Q335" t="n">
        <v>30</v>
      </c>
      <c r="S335" t="n">
        <v>0</v>
      </c>
      <c r="T335" t="n">
        <v>0</v>
      </c>
      <c r="U335" t="n">
        <v>0</v>
      </c>
      <c r="X335" t="n">
        <v>0</v>
      </c>
      <c r="AB335" t="inlineStr">
        <is>
          <t>Sep-27</t>
        </is>
      </c>
      <c r="AC335" t="inlineStr">
        <is>
          <t>Sep - 27</t>
        </is>
      </c>
    </row>
    <row r="336">
      <c r="E336" t="inlineStr">
        <is>
          <t>400 kV D/c Khandukhal (Srinagar) – Rampura (Kashipur) line (Twin
HTLS) (KRTL)
(CKM-388)</t>
        </is>
      </c>
      <c r="P336" t="inlineStr">
        <is>
          <t>Oct-22</t>
        </is>
      </c>
      <c r="AB336" t="inlineStr">
        <is>
          <t>Sep-24</t>
        </is>
      </c>
      <c r="AC336" t="inlineStr">
        <is>
          <t>Dec - 25</t>
        </is>
      </c>
    </row>
    <row r="337">
      <c r="E337" t="inlineStr">
        <is>
          <t>400 kV D/c Khandukhal (Srinagar) – Rampura (Kashipur) line</t>
        </is>
      </c>
      <c r="P337" t="inlineStr">
        <is>
          <t>Oct-22</t>
        </is>
      </c>
      <c r="Q337" t="n">
        <v>384</v>
      </c>
      <c r="R337" t="n">
        <v>498</v>
      </c>
      <c r="S337" t="n">
        <v>442</v>
      </c>
      <c r="T337" t="n">
        <v>283</v>
      </c>
      <c r="U337" t="n">
        <v>24.88</v>
      </c>
      <c r="V337" t="n">
        <v>0.89</v>
      </c>
      <c r="W337" t="n">
        <v>0.57</v>
      </c>
      <c r="X337" t="n">
        <v>0.06</v>
      </c>
      <c r="AB337" t="inlineStr">
        <is>
          <t>Sep-24</t>
        </is>
      </c>
      <c r="AC337" t="inlineStr">
        <is>
          <t>Dec - 25</t>
        </is>
      </c>
      <c r="AD337" t="inlineStr">
        <is>
          <t>RoW in Uttarakhand (56 locs.): Pouri Gehwal (52 locs): Udam singh nagar (4 Locs)
Forest (191.31Ha, 73 locs., 50 ckm) in Uttarakhand State : Stage I approval
granted on 17.02.2025. Estimation received on 11.03.2025 and payment is under
process.
Status of receipt of conductors/Tower material: All Tower material supplies been
completed. Conductor Order given on Sep’2024.
For Substation Bay Extension Work: Land Lease / Rent agreement to be finalized
by PTCUL for Space to construct Bay Extension at Rampura &amp; Khandhukal
Substations.</t>
        </is>
      </c>
    </row>
    <row r="338">
      <c r="E338" t="inlineStr">
        <is>
          <t>Transmission system for evacuation of power from REZ in
Rajasthan (20 GW) under phase III –Part A3
(SPV: Fatehgarh-III Transmission Ltd.)</t>
        </is>
      </c>
      <c r="P338" t="inlineStr">
        <is>
          <t>Aug-23</t>
        </is>
      </c>
      <c r="AB338" t="inlineStr">
        <is>
          <t>Feb-25</t>
        </is>
      </c>
      <c r="AC338" t="inlineStr">
        <is>
          <t>Jun - 26</t>
        </is>
      </c>
    </row>
    <row r="339">
      <c r="E339" t="inlineStr">
        <is>
          <t>Fatehgarh 3- Bhadla-3 400kV D/C line (Quad) line</t>
        </is>
      </c>
      <c r="P339" t="inlineStr">
        <is>
          <t>Aug-23</t>
        </is>
      </c>
      <c r="Q339" t="n">
        <v>446</v>
      </c>
      <c r="R339" t="n">
        <v>584</v>
      </c>
      <c r="S339" t="n">
        <v>485</v>
      </c>
      <c r="T339" t="n">
        <v>389</v>
      </c>
      <c r="U339" t="n">
        <v>112.14</v>
      </c>
      <c r="V339" t="n">
        <v>0.83</v>
      </c>
      <c r="W339" t="n">
        <v>0.67</v>
      </c>
      <c r="X339" t="n">
        <v>0.25</v>
      </c>
      <c r="Y339" t="inlineStr">
        <is>
          <t>0.00%</t>
        </is>
      </c>
      <c r="AB339" t="inlineStr">
        <is>
          <t>Feb-25</t>
        </is>
      </c>
      <c r="AC339" t="inlineStr">
        <is>
          <t>Jun - 26</t>
        </is>
      </c>
      <c r="AD339" t="inlineStr">
        <is>
          <t>RoW (80 loc.): Barmer (3), Jaisalmer (38), Phalodi (39) in Rajasthan State
Forest (22.2778, 9.686 ckm) in Rajasthan: Stage I Pending Applied on 31.07.2024
Curr. Status : Proposal pending at REC.</t>
        </is>
      </c>
    </row>
    <row r="340">
      <c r="E340" t="inlineStr">
        <is>
          <t>Transmission system for evacuation of power from REZ in
Rajasthan (20 GW) under phase III –Part A1
(SPV: Fatehgarh-IV Transmission Ltd.)</t>
        </is>
      </c>
      <c r="P340" t="inlineStr">
        <is>
          <t>Aug-23</t>
        </is>
      </c>
      <c r="AB340" t="inlineStr">
        <is>
          <t>Feb-25</t>
        </is>
      </c>
      <c r="AC340" t="inlineStr">
        <is>
          <t>Dec - 25</t>
        </is>
      </c>
    </row>
    <row r="341">
      <c r="E341" t="inlineStr">
        <is>
          <t>5x500MVA, 400/220kV pooling station at Fatehgarh-4</t>
        </is>
      </c>
      <c r="P341" t="inlineStr">
        <is>
          <t>Aug-23</t>
        </is>
      </c>
      <c r="Y341" t="inlineStr">
        <is>
          <t>95.00%</t>
        </is>
      </c>
      <c r="Z341" t="inlineStr">
        <is>
          <t>99.50%</t>
        </is>
      </c>
      <c r="AA341" t="inlineStr">
        <is>
          <t>100.00%</t>
        </is>
      </c>
      <c r="AB341" t="inlineStr">
        <is>
          <t>Feb-25</t>
        </is>
      </c>
      <c r="AC341" t="inlineStr">
        <is>
          <t>Dec - 25</t>
        </is>
      </c>
      <c r="AD341" t="inlineStr">
        <is>
          <t>All land acquired (134.4 Acre, All Private)</t>
        </is>
      </c>
    </row>
    <row r="342">
      <c r="E342" t="inlineStr">
        <is>
          <t>Fatehgarh-4 PS- Fatehgarh-3 PS 400kV D/c</t>
        </is>
      </c>
      <c r="P342" t="inlineStr">
        <is>
          <t>Aug-23</t>
        </is>
      </c>
      <c r="Q342" t="n">
        <v>42</v>
      </c>
      <c r="R342" t="n">
        <v>61</v>
      </c>
      <c r="S342" t="n">
        <v>61</v>
      </c>
      <c r="T342" t="n">
        <v>61</v>
      </c>
      <c r="U342" t="n">
        <v>42.68</v>
      </c>
      <c r="V342" t="n">
        <v>1</v>
      </c>
      <c r="W342" t="n">
        <v>1</v>
      </c>
      <c r="X342" t="n">
        <v>1.02</v>
      </c>
      <c r="Y342" t="inlineStr">
        <is>
          <t>0.00%</t>
        </is>
      </c>
      <c r="AB342" t="inlineStr">
        <is>
          <t>Feb-25</t>
        </is>
      </c>
      <c r="AC342" t="inlineStr">
        <is>
          <t>Dec - 25</t>
        </is>
      </c>
      <c r="AD342" t="inlineStr">
        <is>
          <t>Forest (1.6054 Ha, 5 locs, 0.7 ckm ) in Rajasthan
Stage-I In-principle approval is granted on 20/06/2025.
Stage-II Final Approval granted in 10/09/2025
Ckt I charged on 29.11.2025, Ckt II charged on 29.11.2025</t>
        </is>
      </c>
    </row>
    <row r="343">
      <c r="E343" t="inlineStr">
        <is>
          <t>Western Region Expansion Scheme XXXIII (WRES-XXXIII): Part B</t>
        </is>
      </c>
      <c r="P343" t="inlineStr">
        <is>
          <t>Feb-24</t>
        </is>
      </c>
      <c r="U343" t="n">
        <v>0</v>
      </c>
      <c r="AB343" t="inlineStr">
        <is>
          <t>Feb-26</t>
        </is>
      </c>
      <c r="AC343" t="inlineStr">
        <is>
          <t>Apr - 26</t>
        </is>
      </c>
    </row>
    <row r="344">
      <c r="E344" t="inlineStr">
        <is>
          <t>2x1500 MVA, 765/400 kV and 2x500 MVA, 400/220 kV S/s at Karera
(near Datiya)</t>
        </is>
      </c>
      <c r="P344" t="inlineStr">
        <is>
          <t>Feb-24</t>
        </is>
      </c>
      <c r="AB344" t="inlineStr">
        <is>
          <t>Feb-26</t>
        </is>
      </c>
      <c r="AC344" t="inlineStr">
        <is>
          <t>Apr - 26</t>
        </is>
      </c>
      <c r="AD344" t="inlineStr">
        <is>
          <t>Land (165.5): Pending (90 Acre)
Govt. (54.215): All Pending
Pvt. (111.28): Pending (35.985 Acre)
For Govt. Land, DC Datia has allocated Govt. Land to Energy Dept. M.P as per M.P
Govt Policy for further leasing to TSP, WP given by Govt. of MP , Energy Dept. on
16.10.2025</t>
        </is>
      </c>
    </row>
    <row r="345">
      <c r="E345" t="inlineStr">
        <is>
          <t>LILO of Satna-Gwalior 765 kV S/c line at Karera</t>
        </is>
      </c>
      <c r="P345" t="inlineStr">
        <is>
          <t>Feb-24</t>
        </is>
      </c>
      <c r="Q345" t="n">
        <v>85</v>
      </c>
      <c r="R345" t="n">
        <v>117</v>
      </c>
      <c r="S345" t="n">
        <v>89</v>
      </c>
      <c r="T345" t="n">
        <v>15</v>
      </c>
      <c r="U345" t="n">
        <v>0</v>
      </c>
      <c r="V345" t="n">
        <v>0.76</v>
      </c>
      <c r="W345" t="n">
        <v>0.13</v>
      </c>
      <c r="X345" t="n">
        <v>0</v>
      </c>
      <c r="Y345" t="inlineStr">
        <is>
          <t>0.00%</t>
        </is>
      </c>
      <c r="AB345" t="inlineStr">
        <is>
          <t>Feb-26</t>
        </is>
      </c>
      <c r="AC345" t="inlineStr">
        <is>
          <t>Apr - 26</t>
        </is>
      </c>
    </row>
    <row r="346">
      <c r="E346" t="inlineStr">
        <is>
          <t>Transmission System for Evacuation of Power from Rajasthan REZ
Ph-IV (Part -2 : 5.5 GW) (Jaisalmer / Barmer Complex): Part-A</t>
        </is>
      </c>
      <c r="P346" t="inlineStr">
        <is>
          <t>Aug-24</t>
        </is>
      </c>
      <c r="AB346" t="inlineStr">
        <is>
          <t>Aug-26</t>
        </is>
      </c>
      <c r="AC346" t="inlineStr">
        <is>
          <t>Aug - 26</t>
        </is>
      </c>
    </row>
    <row r="347">
      <c r="E347" t="inlineStr">
        <is>
          <t>Construction of Section-2 with 4x1500 MVA, 765/400 kV and 5x500
MVA, 400/220 kV ICTs at Fatehgarh-IV PS</t>
        </is>
      </c>
      <c r="P347" t="inlineStr">
        <is>
          <t>Aug-24</t>
        </is>
      </c>
      <c r="Y347" t="inlineStr">
        <is>
          <t>38.00%</t>
        </is>
      </c>
      <c r="Z347" t="inlineStr">
        <is>
          <t>40.00%</t>
        </is>
      </c>
      <c r="AB347" t="inlineStr">
        <is>
          <t>Aug-26</t>
        </is>
      </c>
      <c r="AC347" t="inlineStr">
        <is>
          <t>Aug - 26</t>
        </is>
      </c>
      <c r="AD347" t="inlineStr">
        <is>
          <t>Land required: Included with Fatehgarh IV PS land</t>
        </is>
      </c>
    </row>
    <row r="348">
      <c r="E348" t="inlineStr">
        <is>
          <t>Fatehgarh-IV PS (Section-2) - Bhinmal (PG) 400 kV D/C line (Twin
HTLS)</t>
        </is>
      </c>
      <c r="P348" t="inlineStr">
        <is>
          <t>Aug-24</t>
        </is>
      </c>
      <c r="Q348" t="n">
        <v>369</v>
      </c>
      <c r="R348" t="n">
        <v>512</v>
      </c>
      <c r="S348" t="n">
        <v>234</v>
      </c>
      <c r="T348" t="n">
        <v>137</v>
      </c>
      <c r="U348" t="n">
        <v>0</v>
      </c>
      <c r="V348" t="n">
        <v>0.46</v>
      </c>
      <c r="W348" t="n">
        <v>0.27</v>
      </c>
      <c r="X348" t="n">
        <v>0</v>
      </c>
      <c r="AB348" t="inlineStr">
        <is>
          <t>Aug-26</t>
        </is>
      </c>
      <c r="AC348" t="inlineStr">
        <is>
          <t>Aug - 26</t>
        </is>
      </c>
      <c r="AD348" t="inlineStr">
        <is>
          <t>RoW: Bytu ( 15 LOC ), Bagoda ( 11 LOC) , Sayla ( 20 LOC) , Sindhari ( 13 Loc)
Forest (0.7636, .332ckm) in Rajasthan)
Stage I Pending Applied on 12.04.2025
Current Status : Pending at DFO/CF/Nodal Officer/Jalore</t>
        </is>
      </c>
    </row>
    <row r="349">
      <c r="E349" t="inlineStr">
        <is>
          <t>LILO of both ckts of 765 kV Fatehgarh-III - Beawar D/C line at
Fatehgarh-IV PS (Section-2)</t>
        </is>
      </c>
      <c r="P349" t="inlineStr">
        <is>
          <t>Aug-24</t>
        </is>
      </c>
      <c r="Q349" t="n">
        <v>17</v>
      </c>
      <c r="R349" t="n">
        <v>46</v>
      </c>
      <c r="S349" t="n">
        <v>0</v>
      </c>
      <c r="U349" t="n">
        <v>0</v>
      </c>
      <c r="V349" t="n">
        <v>0</v>
      </c>
      <c r="W349" t="n">
        <v>0</v>
      </c>
      <c r="X349" t="n">
        <v>0</v>
      </c>
      <c r="AB349" t="inlineStr">
        <is>
          <t>Aug-26</t>
        </is>
      </c>
      <c r="AC349" t="inlineStr">
        <is>
          <t>Aug - 26</t>
        </is>
      </c>
      <c r="AD349" t="inlineStr">
        <is>
          <t>LILO proposal approved by Beawar Transmission Limited on 3rd Oct. 2025</t>
        </is>
      </c>
    </row>
    <row r="350">
      <c r="E350" t="inlineStr">
        <is>
          <t>Transmission system for evacuation of power from RE projects in
Solapur (1500 MW) SEZ in Maharashtra</t>
        </is>
      </c>
      <c r="P350" t="inlineStr">
        <is>
          <t>Mar-24</t>
        </is>
      </c>
      <c r="AB350" t="inlineStr">
        <is>
          <t>Mar-26</t>
        </is>
      </c>
      <c r="AC350" t="inlineStr">
        <is>
          <t>Jun - 26</t>
        </is>
      </c>
    </row>
    <row r="351">
      <c r="E351" t="inlineStr">
        <is>
          <t>Establishment of 400/220 kV, 4x500 MVA ICTs at Solapur PS
alongwith 2x125 MVAR, 420 kV Bus Reactors.</t>
        </is>
      </c>
      <c r="P351" t="inlineStr">
        <is>
          <t>Mar-24</t>
        </is>
      </c>
      <c r="Y351" t="inlineStr">
        <is>
          <t>20.00%</t>
        </is>
      </c>
      <c r="Z351" t="inlineStr">
        <is>
          <t>0.00%</t>
        </is>
      </c>
      <c r="AB351" t="inlineStr">
        <is>
          <t>Mar-26</t>
        </is>
      </c>
      <c r="AC351" t="inlineStr">
        <is>
          <t>Mar - 26</t>
        </is>
      </c>
      <c r="AD351" t="inlineStr">
        <is>
          <t>Substation Land ( 80 Acres) : Private land acquired (60.7 Acres).</t>
        </is>
      </c>
    </row>
    <row r="352">
      <c r="E352" t="inlineStr">
        <is>
          <t>Solapur PS – Solapur (PG) 400 kV D/c line</t>
        </is>
      </c>
      <c r="P352" t="inlineStr">
        <is>
          <t>Mar-24</t>
        </is>
      </c>
      <c r="Q352" t="n">
        <v>80</v>
      </c>
      <c r="R352" t="n">
        <v>111</v>
      </c>
      <c r="S352" t="n">
        <v>71</v>
      </c>
      <c r="T352" t="n">
        <v>39</v>
      </c>
      <c r="V352" t="n">
        <v>0.64</v>
      </c>
      <c r="W352" t="n">
        <v>0.35</v>
      </c>
      <c r="X352" t="n">
        <v>0</v>
      </c>
      <c r="AB352" t="inlineStr">
        <is>
          <t>Mar-26</t>
        </is>
      </c>
      <c r="AC352" t="inlineStr">
        <is>
          <t>Jun - 26</t>
        </is>
      </c>
      <c r="AD352" t="inlineStr">
        <is>
          <t>RoW (13 locs) : Dharashiv (13). Applications submitted to DC (Dharashiv Dist.) for
all13 locations for resolution under Section 16(1). Orders awaited.</t>
        </is>
      </c>
    </row>
    <row r="353">
      <c r="E353" t="inlineStr">
        <is>
          <t>Transmission Scheme for North Eastern Region Expansion
Scheme-XVI (NERES-XVI)</t>
        </is>
      </c>
      <c r="P353" t="inlineStr">
        <is>
          <t>Jun-24</t>
        </is>
      </c>
      <c r="R353" t="n">
        <v>100</v>
      </c>
      <c r="V353" t="n">
        <v>0</v>
      </c>
      <c r="W353" t="n">
        <v>0</v>
      </c>
      <c r="AB353" t="inlineStr">
        <is>
          <t>Nov-26</t>
        </is>
      </c>
      <c r="AC353" t="inlineStr">
        <is>
          <t>Nov - 26</t>
        </is>
      </c>
    </row>
    <row r="354">
      <c r="E354" t="inlineStr">
        <is>
          <t>Gogamukh (ISTS) (Assam) – Gerukamukh (Arunachal Pradesh) 132
kV D/c line</t>
        </is>
      </c>
      <c r="P354" t="inlineStr">
        <is>
          <t>Jun-24</t>
        </is>
      </c>
      <c r="Q354" t="n">
        <v>58</v>
      </c>
      <c r="X354" t="n">
        <v>0</v>
      </c>
      <c r="AB354" t="inlineStr">
        <is>
          <t>Nov-26</t>
        </is>
      </c>
      <c r="AC354" t="inlineStr">
        <is>
          <t>Nov - 26</t>
        </is>
      </c>
      <c r="AD354" t="inlineStr">
        <is>
          <t>Route Alignment completed. Design and engineering under process.</t>
        </is>
      </c>
    </row>
    <row r="355">
      <c r="E355" t="inlineStr">
        <is>
          <t>LILO of both circuits of Lower Subansiri - Biswanath Chariali 400 kV
D/c line at Gogamukh S/s</t>
        </is>
      </c>
      <c r="P355" t="inlineStr">
        <is>
          <t>Jun-24</t>
        </is>
      </c>
      <c r="Q355" t="n">
        <v>31</v>
      </c>
      <c r="X355" t="n">
        <v>0</v>
      </c>
      <c r="AB355" t="inlineStr">
        <is>
          <t>Nov-26</t>
        </is>
      </c>
      <c r="AC355" t="inlineStr">
        <is>
          <t>Nov - 26</t>
        </is>
      </c>
      <c r="AD355" t="inlineStr">
        <is>
          <t>Route Alignment completed. Design and engineering under process.</t>
        </is>
      </c>
    </row>
    <row r="356">
      <c r="E356" t="inlineStr">
        <is>
          <t>400/220/132 kV Gogamukh S/s (2x500 MVA, 400/220 kV ICT; 2x200
MVA, 220/132 kV ICT)</t>
        </is>
      </c>
      <c r="P356" t="inlineStr">
        <is>
          <t>Jun-24</t>
        </is>
      </c>
      <c r="AB356" t="inlineStr">
        <is>
          <t>Nov-26</t>
        </is>
      </c>
      <c r="AC356" t="inlineStr">
        <is>
          <t>Nov - 26</t>
        </is>
      </c>
      <c r="AD356" t="inlineStr">
        <is>
          <t>Land (58.04 Acre) :Land Parcel finalized and further pursuing with DC, ADC &amp;
Circle office of Dhemaji District for acquisition of the Gogamukh Sub Station land.
Gogamukh SS Land Acquisition will be completed by Dec-2025.</t>
        </is>
      </c>
    </row>
    <row r="357">
      <c r="E357" t="inlineStr">
        <is>
          <t>Transmission System for North Eastern Region Generation Scheme-
I (NERGS-I)</t>
        </is>
      </c>
      <c r="P357" t="inlineStr">
        <is>
          <t>Jul-24</t>
        </is>
      </c>
      <c r="AB357" t="inlineStr">
        <is>
          <t>Dec-26</t>
        </is>
      </c>
      <c r="AC357" t="inlineStr">
        <is>
          <t>Dec - 26</t>
        </is>
      </c>
    </row>
    <row r="358">
      <c r="E358" t="inlineStr">
        <is>
          <t>400 kV Switching Station (to be upgraded to 400/220 kV in future) at
Bokajan (Assam)</t>
        </is>
      </c>
      <c r="P358" t="inlineStr">
        <is>
          <t>Jul-24</t>
        </is>
      </c>
      <c r="AB358" t="inlineStr">
        <is>
          <t>Dec-26</t>
        </is>
      </c>
      <c r="AC358" t="inlineStr">
        <is>
          <t>Dec - 26</t>
        </is>
      </c>
      <c r="AD358" t="inlineStr">
        <is>
          <t>The project has been suspended.</t>
        </is>
      </c>
    </row>
    <row r="359">
      <c r="E359" t="inlineStr">
        <is>
          <t>LILO of both circuits of 400 kV D/c Misa (PG) to New Mariani (PG)
line at Bokajan S/s</t>
        </is>
      </c>
      <c r="P359" t="inlineStr">
        <is>
          <t>Jul-24</t>
        </is>
      </c>
      <c r="Q359" t="n">
        <v>24</v>
      </c>
      <c r="X359" t="n">
        <v>0</v>
      </c>
      <c r="AB359" t="inlineStr">
        <is>
          <t>Dec-26</t>
        </is>
      </c>
      <c r="AC359" t="inlineStr">
        <is>
          <t>Dec - 26</t>
        </is>
      </c>
      <c r="AD359" t="inlineStr">
        <is>
          <t>The project has been suspended.</t>
        </is>
      </c>
    </row>
    <row r="360">
      <c r="E360" t="inlineStr">
        <is>
          <t>Transmission system for evacuation of power from Rajasthan REZ
Ph-IV (Part-4: 3.5 GW): Part B</t>
        </is>
      </c>
      <c r="P360" t="inlineStr">
        <is>
          <t>Dec-24</t>
        </is>
      </c>
      <c r="AB360" t="inlineStr">
        <is>
          <t>Dec-26</t>
        </is>
      </c>
      <c r="AC360" t="inlineStr">
        <is>
          <t>Dec - 26</t>
        </is>
      </c>
    </row>
    <row r="361">
      <c r="E361" t="inlineStr">
        <is>
          <t>Establishment of 765/400 kV, 2x1500 MVA S/s at Merta-II
Substation</t>
        </is>
      </c>
      <c r="P361" t="inlineStr">
        <is>
          <t>Dec-24</t>
        </is>
      </c>
      <c r="S361" t="n">
        <v>19</v>
      </c>
      <c r="T361" t="n">
        <v>0</v>
      </c>
      <c r="U361" t="n">
        <v>0</v>
      </c>
      <c r="Y361" t="inlineStr">
        <is>
          <t>2.20%</t>
        </is>
      </c>
      <c r="Z361" t="inlineStr">
        <is>
          <t>0.00%</t>
        </is>
      </c>
      <c r="AA361" t="inlineStr">
        <is>
          <t>0.00%</t>
        </is>
      </c>
      <c r="AB361" t="inlineStr">
        <is>
          <t>Dec-26</t>
        </is>
      </c>
      <c r="AC361" t="inlineStr">
        <is>
          <t>Dec - 26</t>
        </is>
      </c>
      <c r="AD361" t="inlineStr">
        <is>
          <t>Land (165 Acre)- Acquisition In progress
Order Placed for Transformers/Reactors.</t>
        </is>
      </c>
    </row>
    <row r="362">
      <c r="E362" t="inlineStr">
        <is>
          <t>Merta II- Barmer I PS 765 kV D/c line</t>
        </is>
      </c>
      <c r="P362" t="inlineStr">
        <is>
          <t>Dec-24</t>
        </is>
      </c>
      <c r="Q362" t="n">
        <v>686</v>
      </c>
      <c r="R362" t="n">
        <v>864</v>
      </c>
      <c r="S362" t="n">
        <v>359</v>
      </c>
      <c r="T362" t="n">
        <v>19</v>
      </c>
      <c r="U362" t="n">
        <v>0</v>
      </c>
      <c r="V362" t="n">
        <v>0.42</v>
      </c>
      <c r="W362" t="n">
        <v>0.02</v>
      </c>
      <c r="X362" t="n">
        <v>0</v>
      </c>
      <c r="Y362" t="inlineStr">
        <is>
          <t>0.00%</t>
        </is>
      </c>
      <c r="Z362" t="inlineStr">
        <is>
          <t>0.00%</t>
        </is>
      </c>
      <c r="AA362" t="inlineStr">
        <is>
          <t>0.00%</t>
        </is>
      </c>
      <c r="AB362" t="inlineStr">
        <is>
          <t>Dec-26</t>
        </is>
      </c>
      <c r="AC362" t="inlineStr">
        <is>
          <t>Dec - 26</t>
        </is>
      </c>
      <c r="AD362" t="inlineStr">
        <is>
          <t>RoW (84 locs) in Rajasthan: Barmer (13), Jodhpur (71)
Forest Clearance - Detailed survey in progress.</t>
        </is>
      </c>
    </row>
    <row r="363">
      <c r="E363" t="inlineStr">
        <is>
          <t>Merta II – Beawar 400 kV D/c line (Quad).</t>
        </is>
      </c>
      <c r="P363" t="inlineStr">
        <is>
          <t>Dec-24</t>
        </is>
      </c>
      <c r="Q363" t="n">
        <v>143</v>
      </c>
      <c r="R363" t="n">
        <v>186</v>
      </c>
      <c r="S363" t="n">
        <v>45</v>
      </c>
      <c r="T363" t="n">
        <v>0</v>
      </c>
      <c r="U363" t="n">
        <v>0</v>
      </c>
      <c r="V363" t="n">
        <v>0.24</v>
      </c>
      <c r="W363" t="n">
        <v>0</v>
      </c>
      <c r="X363" t="n">
        <v>0</v>
      </c>
      <c r="Y363" t="inlineStr">
        <is>
          <t>0.00%</t>
        </is>
      </c>
      <c r="Z363" t="inlineStr">
        <is>
          <t>0.00%</t>
        </is>
      </c>
      <c r="AA363" t="inlineStr">
        <is>
          <t>0.00%</t>
        </is>
      </c>
      <c r="AB363" t="inlineStr">
        <is>
          <t>Dec-26</t>
        </is>
      </c>
      <c r="AC363" t="inlineStr">
        <is>
          <t>Dec - 26</t>
        </is>
      </c>
      <c r="AD363" t="inlineStr">
        <is>
          <t>RoW (46 Locs) in Rajasthan: Beawar (10) , Nagaur (36)
Forest (0.1646 Ha, 2 locs) in Rajasthan: Forest Proposal submitted on 29.05.2025.</t>
        </is>
      </c>
    </row>
    <row r="364">
      <c r="E364" t="inlineStr">
        <is>
          <t>Merta II – Dausa 765 kV D/c line</t>
        </is>
      </c>
      <c r="P364" t="inlineStr">
        <is>
          <t>Dec-24</t>
        </is>
      </c>
      <c r="Q364" t="n">
        <v>494</v>
      </c>
      <c r="R364" t="n">
        <v>619</v>
      </c>
      <c r="S364" t="n">
        <v>336</v>
      </c>
      <c r="T364" t="n">
        <v>1</v>
      </c>
      <c r="U364" t="n">
        <v>0</v>
      </c>
      <c r="V364" t="n">
        <v>0.54</v>
      </c>
      <c r="W364" t="n">
        <v>0</v>
      </c>
      <c r="X364" t="n">
        <v>0</v>
      </c>
      <c r="Y364" t="inlineStr">
        <is>
          <t>0.00%</t>
        </is>
      </c>
      <c r="Z364" t="inlineStr">
        <is>
          <t>0.00%</t>
        </is>
      </c>
      <c r="AA364" t="inlineStr">
        <is>
          <t>0.00%</t>
        </is>
      </c>
      <c r="AB364" t="inlineStr">
        <is>
          <t>Dec-26</t>
        </is>
      </c>
      <c r="AC364" t="inlineStr">
        <is>
          <t>Dec - 26</t>
        </is>
      </c>
      <c r="AD364" t="inlineStr">
        <is>
          <t>RoW (42 Locs) in Rajasthan: Ajmer (11) , Jaipur (12) , Dausa(2) , Didwana (17)
Forest Clearance - Forest (1.3636 Ha, 5 locs) Forest proposal submitted on
29.05.2025.</t>
        </is>
      </c>
    </row>
    <row r="365">
      <c r="E365" t="inlineStr">
        <is>
          <t>Transmission System for evacuation of RE power from
Raghanesda area of Gujarat – 3GW under Phase-I (SPV:
Raghanesda RE Transmission Limited)</t>
        </is>
      </c>
      <c r="P365" t="inlineStr">
        <is>
          <t>Jul-25</t>
        </is>
      </c>
      <c r="AB365" t="inlineStr">
        <is>
          <t>Oct-27</t>
        </is>
      </c>
      <c r="AC365" t="inlineStr">
        <is>
          <t>Oct - 27</t>
        </is>
      </c>
    </row>
    <row r="366">
      <c r="E366" t="inlineStr">
        <is>
          <t>Establishment 3x1500 MVA, 765/400 kV Substation near
Raghanesda (GIS) with 2x330 MVAr, 765 kV bus reactor and 2x125
MVAR, 420 kV bus reactor</t>
        </is>
      </c>
      <c r="P366" t="inlineStr">
        <is>
          <t>Jul-25</t>
        </is>
      </c>
      <c r="AB366" t="inlineStr">
        <is>
          <t>Oct-27</t>
        </is>
      </c>
      <c r="AC366" t="inlineStr">
        <is>
          <t>Oct - 27</t>
        </is>
      </c>
      <c r="AD366" t="inlineStr">
        <is>
          <t>Land is identification in progress
Order of Transformer &amp; Reactors are placed.
Order of GIS is placed</t>
        </is>
      </c>
    </row>
    <row r="367">
      <c r="E367" t="inlineStr">
        <is>
          <t>Raghanesda (GIS) – Banaskantha (PG) 765 kV D/c line</t>
        </is>
      </c>
      <c r="P367" t="inlineStr">
        <is>
          <t>Jul-25</t>
        </is>
      </c>
      <c r="Q367" t="n">
        <v>155</v>
      </c>
      <c r="X367" t="n">
        <v>0</v>
      </c>
      <c r="AB367" t="inlineStr">
        <is>
          <t>Oct-27</t>
        </is>
      </c>
      <c r="AC367" t="inlineStr">
        <is>
          <t>Oct - 27</t>
        </is>
      </c>
      <c r="AD367" t="inlineStr">
        <is>
          <t>Detailed Survey Work completed.</t>
        </is>
      </c>
    </row>
    <row r="368">
      <c r="E368" t="inlineStr">
        <is>
          <t>2 Nos. 765 kV line bays at Banaskantha (PG) S/s</t>
        </is>
      </c>
      <c r="P368" t="inlineStr">
        <is>
          <t>Jul-25</t>
        </is>
      </c>
      <c r="AB368" t="inlineStr">
        <is>
          <t>Oct-27</t>
        </is>
      </c>
      <c r="AC368" t="inlineStr">
        <is>
          <t>Oct - 27</t>
        </is>
      </c>
    </row>
    <row r="369">
      <c r="E369" t="inlineStr">
        <is>
          <t>Augmentation of transformation capacity at 765/400 kV Lakadia
S/s in Gujarat - Part B</t>
        </is>
      </c>
      <c r="P369" t="inlineStr">
        <is>
          <t>Feb-25</t>
        </is>
      </c>
      <c r="Y369" t="inlineStr">
        <is>
          <t>32.72%</t>
        </is>
      </c>
      <c r="Z369" t="inlineStr">
        <is>
          <t>0.00%</t>
        </is>
      </c>
      <c r="AA369" t="inlineStr">
        <is>
          <t>0.00%</t>
        </is>
      </c>
      <c r="AB369" t="inlineStr">
        <is>
          <t>Jun-27</t>
        </is>
      </c>
      <c r="AC369" t="inlineStr">
        <is>
          <t>Jun - 27</t>
        </is>
      </c>
    </row>
    <row r="370">
      <c r="E370" t="inlineStr">
        <is>
          <t>Augmentation by 2x500 MVA, 400/220 kV ICTs (3rd &amp; 4th) at
Lakadia PS</t>
        </is>
      </c>
      <c r="P370" t="inlineStr">
        <is>
          <t>Feb-25</t>
        </is>
      </c>
      <c r="Y370" t="inlineStr">
        <is>
          <t>36.41%</t>
        </is>
      </c>
      <c r="Z370" t="inlineStr">
        <is>
          <t>0.00%</t>
        </is>
      </c>
      <c r="AA370" t="inlineStr">
        <is>
          <t>0.00%</t>
        </is>
      </c>
      <c r="AB370" t="inlineStr">
        <is>
          <t>Aug-26</t>
        </is>
      </c>
      <c r="AC370" t="inlineStr">
        <is>
          <t>Aug - 26</t>
        </is>
      </c>
      <c r="AD370"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1">
      <c r="E371" t="inlineStr">
        <is>
          <t>Augmentation by 2x500 MVA, 400/220 kV ICTs (5th &amp; 6th) at
Lakadia PS on new 220 kV Bus Section-II</t>
        </is>
      </c>
      <c r="P371" t="inlineStr">
        <is>
          <t>Feb-25</t>
        </is>
      </c>
      <c r="Y371" t="inlineStr">
        <is>
          <t>36.85%</t>
        </is>
      </c>
      <c r="Z371" t="inlineStr">
        <is>
          <t>0.00%</t>
        </is>
      </c>
      <c r="AA371" t="inlineStr">
        <is>
          <t>0.00%</t>
        </is>
      </c>
      <c r="AB371" t="inlineStr">
        <is>
          <t>Aug-26</t>
        </is>
      </c>
      <c r="AC371" t="inlineStr">
        <is>
          <t>Aug - 26</t>
        </is>
      </c>
      <c r="AD371"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2">
      <c r="E372" t="inlineStr">
        <is>
          <t>Augmentation by 500 MVA, 400/220 kV ICTs (7th) at Lakadia PS on
new 220 kV Bus Section-II</t>
        </is>
      </c>
      <c r="P372" t="inlineStr">
        <is>
          <t>Feb-25</t>
        </is>
      </c>
      <c r="Y372" t="inlineStr">
        <is>
          <t>35.86%</t>
        </is>
      </c>
      <c r="Z372" t="inlineStr">
        <is>
          <t>0.00%</t>
        </is>
      </c>
      <c r="AA372" t="inlineStr">
        <is>
          <t>0.00%</t>
        </is>
      </c>
      <c r="AB372" t="inlineStr">
        <is>
          <t>Dec-26</t>
        </is>
      </c>
      <c r="AC372" t="inlineStr">
        <is>
          <t>Dec - 26</t>
        </is>
      </c>
      <c r="AD372" t="inlineStr">
        <is>
          <t>Land: WRSS XXI (A) Transco Limited, to provide the required land for the Lakadia
B Power Transmission Limited project.
Transformer Supply: Ordered on 20-Feb-25. Expected by Oct’26.</t>
        </is>
      </c>
    </row>
    <row r="373">
      <c r="E373" t="inlineStr">
        <is>
          <t>Augmentation by 500 MVA, 400/220 kV ICTs (8th) at Lakadia PS on
new 220 kV Bus Section-II</t>
        </is>
      </c>
      <c r="P373" t="inlineStr">
        <is>
          <t>Feb-25</t>
        </is>
      </c>
      <c r="Y373" t="inlineStr">
        <is>
          <t>39.10%</t>
        </is>
      </c>
      <c r="Z373" t="inlineStr">
        <is>
          <t>0.00%</t>
        </is>
      </c>
      <c r="AA373" t="inlineStr">
        <is>
          <t>0.00%</t>
        </is>
      </c>
      <c r="AB373" t="inlineStr">
        <is>
          <t>Jun-27</t>
        </is>
      </c>
      <c r="AC373" t="inlineStr">
        <is>
          <t>Jun - 27</t>
        </is>
      </c>
      <c r="AD373" t="inlineStr">
        <is>
          <t>Land: WRSS XXI (A) Transco Limited, to provide the required land for the Lakadia
B Power Transmission Limited project.
Transformer Supply: Ordered on 20-Feb-25. Expected by Nov’26.</t>
        </is>
      </c>
    </row>
    <row r="374">
      <c r="E374" t="inlineStr">
        <is>
          <t>Augmentation of transformation capacity at Lakadia PS by 1x1500
MVA, 765/400 kV ICT (3rd)</t>
        </is>
      </c>
      <c r="P374" t="inlineStr">
        <is>
          <t>Feb-25</t>
        </is>
      </c>
      <c r="Y374" t="inlineStr">
        <is>
          <t>32.90%</t>
        </is>
      </c>
      <c r="Z374" t="inlineStr">
        <is>
          <t>0.00%</t>
        </is>
      </c>
      <c r="AA374" t="inlineStr">
        <is>
          <t>0.00%</t>
        </is>
      </c>
      <c r="AB374" t="inlineStr">
        <is>
          <t>Aug-26</t>
        </is>
      </c>
      <c r="AC374" t="inlineStr">
        <is>
          <t>Aug - 26</t>
        </is>
      </c>
      <c r="AD374" t="inlineStr">
        <is>
          <t>Land: WRSS XXI (A) Transco Limited, to provide the required land for the Lakadia
B Power Transmission Limited project.
Transformer Supply: Transformer (03 nos) ordered on 21-Feb-25 &amp; expected by
Mar’26; Reactor (03 nos) ordered on 21-Feb-25 &amp; expected by Jun’26.</t>
        </is>
      </c>
    </row>
    <row r="375">
      <c r="E375" t="inlineStr">
        <is>
          <t>Eastern Region Generation Scheme-I (ERGS-I) (SPV: Angul
Sundargarh Transmission Limited)</t>
        </is>
      </c>
      <c r="P375" t="inlineStr">
        <is>
          <t>Jul-25</t>
        </is>
      </c>
      <c r="AB375" t="inlineStr">
        <is>
          <t>Mar-28</t>
        </is>
      </c>
      <c r="AC375" t="inlineStr">
        <is>
          <t>Mar - 28</t>
        </is>
      </c>
    </row>
    <row r="376">
      <c r="E376" t="inlineStr">
        <is>
          <t>LILO of both circuits of Angul – Sundargarh (Jharsuguda) 765 kV
2xS/c lines at NLC-Talabira generation switchyard</t>
        </is>
      </c>
      <c r="P376" t="inlineStr">
        <is>
          <t>Jul-25</t>
        </is>
      </c>
      <c r="Q376" t="n">
        <v>100</v>
      </c>
      <c r="X376" t="n">
        <v>0</v>
      </c>
      <c r="AB376" t="inlineStr">
        <is>
          <t>Mar-28</t>
        </is>
      </c>
      <c r="AC376" t="inlineStr">
        <is>
          <t>Mar - 28</t>
        </is>
      </c>
    </row>
    <row r="377">
      <c r="E377" t="inlineStr">
        <is>
          <t>Transmission System for Integration of Ananthapuram-II REZ-
Phase-II (3 GW) (SPV: Ananthapuram II Power Transmission</t>
        </is>
      </c>
      <c r="P377" t="inlineStr">
        <is>
          <t>Oct-25</t>
        </is>
      </c>
      <c r="AB377" t="inlineStr">
        <is>
          <t>Apr-28</t>
        </is>
      </c>
      <c r="AC377" t="inlineStr">
        <is>
          <t>Apr - 28</t>
        </is>
      </c>
    </row>
    <row r="378">
      <c r="E378" t="inlineStr">
        <is>
          <t>Augmentation of Ananthapuram-II PS by 400/220 kV, 1x500 MVA
ICT</t>
        </is>
      </c>
      <c r="AB378" t="inlineStr">
        <is>
          <t>Oct-27</t>
        </is>
      </c>
      <c r="AC378" t="inlineStr">
        <is>
          <t>Oct - 27</t>
        </is>
      </c>
    </row>
    <row r="379">
      <c r="E379" t="inlineStr">
        <is>
          <t>Augmentation of Ananthapuram-II PS by 765/400 kV, 2x1500 MVA
and 400/220 kV, 6x500 MVA ICTs</t>
        </is>
      </c>
      <c r="AB379" t="inlineStr">
        <is>
          <t>Apr-28</t>
        </is>
      </c>
      <c r="AC379" t="inlineStr">
        <is>
          <t>Apr - 28</t>
        </is>
      </c>
    </row>
    <row r="380">
      <c r="E380" t="inlineStr">
        <is>
          <t>Establishment of 3x1500 MVA, 765/400 kV CN’Halli Station with
2x330 MVAr (765 kV) bus reactors</t>
        </is>
      </c>
      <c r="AB380" t="inlineStr">
        <is>
          <t>Apr-28</t>
        </is>
      </c>
      <c r="AC380" t="inlineStr">
        <is>
          <t>Apr - 28</t>
        </is>
      </c>
    </row>
    <row r="381">
      <c r="E381" t="inlineStr">
        <is>
          <t>Ananthapuram-II PS – CN’Halli 765 kV D/c line with 330 MVAr SLR at
Ananthapuram-II end on both circuits</t>
        </is>
      </c>
      <c r="Q381" t="n">
        <v>363</v>
      </c>
      <c r="X381" t="n">
        <v>0</v>
      </c>
      <c r="AB381" t="inlineStr">
        <is>
          <t>Apr-28</t>
        </is>
      </c>
      <c r="AC381" t="inlineStr">
        <is>
          <t>Apr - 28</t>
        </is>
      </c>
    </row>
    <row r="382">
      <c r="E382" t="inlineStr">
        <is>
          <t>LILO of one circuit of Talaguppa - Neelmangala 400 kV D/c line at
CN’Halli</t>
        </is>
      </c>
      <c r="Q382" t="n">
        <v>19</v>
      </c>
      <c r="X382" t="n">
        <v>0</v>
      </c>
      <c r="AB382" t="inlineStr">
        <is>
          <t>Apr-28</t>
        </is>
      </c>
      <c r="AC382" t="inlineStr">
        <is>
          <t>Apr - 28</t>
        </is>
      </c>
    </row>
    <row r="383">
      <c r="E383" t="inlineStr">
        <is>
          <t>LILO at CN’Halli of already LILOed section of one circuit of Talaguppa
- Neelmangala 400 kV line at Hassan</t>
        </is>
      </c>
      <c r="Q383" t="n">
        <v>36</v>
      </c>
      <c r="X383" t="n">
        <v>0</v>
      </c>
      <c r="AB383" t="inlineStr">
        <is>
          <t>Apr-28</t>
        </is>
      </c>
      <c r="AC383" t="inlineStr">
        <is>
          <t>Apr - 28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DM</dc:creator>
  <dcterms:created xmlns:dcterms="http://purl.org/dc/terms/" xmlns:xsi="http://www.w3.org/2001/XMLSchema-instance" xsi:type="dcterms:W3CDTF">2025-08-25T12:15:10Z</dcterms:created>
  <dcterms:modified xmlns:dcterms="http://purl.org/dc/terms/" xmlns:xsi="http://www.w3.org/2001/XMLSchema-instance" xsi:type="dcterms:W3CDTF">2026-01-13T09:12:01Z</dcterms:modified>
  <cp:lastModifiedBy>Admin</cp:lastModifiedBy>
</cp:coreProperties>
</file>