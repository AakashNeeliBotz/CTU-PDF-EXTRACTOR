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C:\Users\Admin\Documents\CTU-automated-pdf-extraction\"/>
    </mc:Choice>
  </mc:AlternateContent>
  <xr:revisionPtr revIDLastSave="0" documentId="13_ncr:1_{429C96D6-F725-43A2-9719-0E55D8CE86E8}" xr6:coauthVersionLast="47" xr6:coauthVersionMax="47" xr10:uidLastSave="{00000000-0000-0000-0000-000000000000}"/>
  <bookViews>
    <workbookView xWindow="-110" yWindow="-110" windowWidth="19420" windowHeight="10300" firstSheet="4" activeTab="4" xr2:uid="{9070875C-CA77-4BB5-B99B-440D4B99D305}"/>
  </bookViews>
  <sheets>
    <sheet name="Data Sources" sheetId="6" r:id="rId1"/>
    <sheet name="Data to be captured" sheetId="1" r:id="rId2"/>
    <sheet name="RE Potential" sheetId="3" r:id="rId3"/>
    <sheet name="Margin" sheetId="4" r:id="rId4"/>
    <sheet name="Transformation Capacity" sheetId="5" r:id="rId5"/>
    <sheet name="Element Status"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2" l="1"/>
  <c r="L5" i="2"/>
  <c r="N5" i="2" s="1"/>
  <c r="X4" i="2"/>
  <c r="W4" i="2"/>
  <c r="V4" i="2"/>
</calcChain>
</file>

<file path=xl/sharedStrings.xml><?xml version="1.0" encoding="utf-8"?>
<sst xmlns="http://schemas.openxmlformats.org/spreadsheetml/2006/main" count="187" uniqueCount="143">
  <si>
    <t>SN</t>
  </si>
  <si>
    <t>Connectivity Application Status</t>
  </si>
  <si>
    <t>Frequency</t>
  </si>
  <si>
    <t>CTU | Central Transmission Utility of India Limited CMETS (Agenda and Minutes: Region wise) link:https://ctuil.in/ists-consultation-meeting</t>
  </si>
  <si>
    <t>Daily</t>
  </si>
  <si>
    <t>CTU | Central Transmission Utility of India Limited JCC (Region wise as per document release Agenda/Minutes) link  https://ctuil.in/ists-joint-coordination-meeting</t>
  </si>
  <si>
    <t>Status of effectiveness of connectivity granted to RE generators (Effective date of connectivity wise) link</t>
  </si>
  <si>
    <t>CTU | Central Transmission Utility of India Limited Re-allocation meetings (Agenda and Minutes: Region wise) link</t>
  </si>
  <si>
    <t>Weekly</t>
  </si>
  <si>
    <t>CTU | Central Transmission Utility of India Limited Bidding Calendar link</t>
  </si>
  <si>
    <t>Transmission Reports - Central Electricity Authority TBCB report from CEA transmission (monthly comparison) link</t>
  </si>
  <si>
    <t>CTUIL (OPEN ACCESS) (Compliance of Land and Financial Closure) link</t>
  </si>
  <si>
    <t>Monitoring of Connectivity (all 3 Annexures and monthly document release comparison) link</t>
  </si>
  <si>
    <t>Substation and Transmission Tracking</t>
  </si>
  <si>
    <t>(Status of allocation of bays at ISTS substations for connectivity grantees, Connectivity margins at existing ISTS (non RE) substations for future RE integration and Connectivity Margin in ISTS RE Substations available by Mar-2030) link</t>
  </si>
  <si>
    <t>10a</t>
  </si>
  <si>
    <t>Potential RE Zones Report link</t>
  </si>
  <si>
    <t>10b</t>
  </si>
  <si>
    <t>NCT (Agenda and Minutes Summary and Comparison of Scheme wise elements) link
Link: https://cea.nic.in/comm-trans/national-committee-on-transmission/?lang=en</t>
  </si>
  <si>
    <t>10c</t>
  </si>
  <si>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</si>
  <si>
    <t>10d</t>
  </si>
  <si>
    <t>CEA monthly transmission reports: (track status for tender elements timelines from 1) CEA Monthly report for actual physical progress of elements and 2) Actual COD from completion report)
CEA https://cea.nic.in/transmission-reports/?lang=en</t>
  </si>
  <si>
    <t>10e</t>
  </si>
  <si>
    <t>Map of the above Section 2 data to be created for review and edit by users</t>
  </si>
  <si>
    <t>Bulk Consumers and Green Hydrogen link</t>
  </si>
  <si>
    <t>CEA: transmission schemes, substations (transformation capacity) and transmission lines published each month on CEA monthly reports section under transmission.</t>
  </si>
  <si>
    <t>Global Wind Atlas (India Map Visualization)</t>
  </si>
  <si>
    <t>Open Infrastructure Map (India Map Visualization)</t>
  </si>
  <si>
    <t>Sr.no.</t>
  </si>
  <si>
    <t>Region</t>
  </si>
  <si>
    <t>State</t>
  </si>
  <si>
    <t>Substation</t>
  </si>
  <si>
    <t>Coordinates</t>
  </si>
  <si>
    <t>Name of Developers</t>
  </si>
  <si>
    <t>Group</t>
  </si>
  <si>
    <t>GNA/ST II Application ID</t>
  </si>
  <si>
    <t>LTA Application ID</t>
  </si>
  <si>
    <t>Application ID under Enhancement 5.2 or revision</t>
  </si>
  <si>
    <t>CMETS GNA Approved</t>
  </si>
  <si>
    <t>CMETS LTA Approved</t>
  </si>
  <si>
    <t>CMETS GNA Meeting Date</t>
  </si>
  <si>
    <t>CMETS LTA Meeting Date</t>
  </si>
  <si>
    <t>Type</t>
  </si>
  <si>
    <t>Application Quantum (MW)(ST II)</t>
  </si>
  <si>
    <t>Granted  Quantum GNA/LTA(MW)</t>
  </si>
  <si>
    <t>Installed/Break-up Capacity (MW)</t>
  </si>
  <si>
    <t xml:space="preserve">Battery </t>
  </si>
  <si>
    <t>PSP</t>
  </si>
  <si>
    <t>Commissioned</t>
  </si>
  <si>
    <t>Application/Submission Date</t>
  </si>
  <si>
    <t>Mode(Criteria for applying)</t>
  </si>
  <si>
    <t>Applied Start of Connectivity sought by developer date( start date of connectivity as per the application)</t>
  </si>
  <si>
    <t>GNA Operationalization Date</t>
  </si>
  <si>
    <t>GNA Operationalization (Yes/No)</t>
  </si>
  <si>
    <t>Date from which additional capacity is to be added</t>
  </si>
  <si>
    <t>Nature of Applicant</t>
  </si>
  <si>
    <t>Status of application(Withdrawn / granted. Revoked.)</t>
  </si>
  <si>
    <t>Voltage level</t>
  </si>
  <si>
    <t>Bay No</t>
  </si>
  <si>
    <t>CTS Element Unique Code</t>
  </si>
  <si>
    <t>ATS Element Unique Code</t>
  </si>
  <si>
    <t>DTL Element Code Unique</t>
  </si>
  <si>
    <t>Date of Last Element Unique Code</t>
  </si>
  <si>
    <t>In-principle Grant</t>
  </si>
  <si>
    <t>Final Grant</t>
  </si>
  <si>
    <t>In case of Land BG Conversion Date</t>
  </si>
  <si>
    <t>Remarks</t>
  </si>
  <si>
    <t>Solar</t>
  </si>
  <si>
    <t>Wind</t>
  </si>
  <si>
    <t>Hybrid</t>
  </si>
  <si>
    <t>MWh</t>
  </si>
  <si>
    <t>Injection (MW)</t>
  </si>
  <si>
    <t>Drawl (MW)</t>
  </si>
  <si>
    <t>TGNA</t>
  </si>
  <si>
    <t>GNA</t>
  </si>
  <si>
    <t>Data Scoure (Sl. No.(s) 1,2,3,4,7,8,9,11)</t>
  </si>
  <si>
    <t>District</t>
  </si>
  <si>
    <t>Complex</t>
  </si>
  <si>
    <t>S/s</t>
  </si>
  <si>
    <t>Location (Village/Tehsil)</t>
  </si>
  <si>
    <t>Others (CTUIL)</t>
  </si>
  <si>
    <t>RE Potential (GW)</t>
  </si>
  <si>
    <t>Installed Capacity</t>
  </si>
  <si>
    <t>U/c &amp; granted Capacity</t>
  </si>
  <si>
    <t>Transmission Scheme</t>
  </si>
  <si>
    <t xml:space="preserve">Complex </t>
  </si>
  <si>
    <t>Data Scoure (Sl. No.(s)9, 10a, )</t>
  </si>
  <si>
    <t>Sl.No.</t>
  </si>
  <si>
    <t>Pooling S/s</t>
  </si>
  <si>
    <t>Timelines</t>
  </si>
  <si>
    <t>RE Potential</t>
  </si>
  <si>
    <t>Expected CoD of Pooling Station</t>
  </si>
  <si>
    <t>Connectivity Granted/ Agreed</t>
  </si>
  <si>
    <t>Margin for Connectivity</t>
  </si>
  <si>
    <t>Additional Margin for Connectivity requiring ICT Augmentation / additional Tr. System</t>
  </si>
  <si>
    <t>Effectiveness of GNA for Capacity mentioned under "Margin for Connectivity</t>
  </si>
  <si>
    <t>RE Potential (MW) [A]</t>
  </si>
  <si>
    <t>BESS (MW) [B]</t>
  </si>
  <si>
    <t>S/s Evacuation Capacity (RE Potential - BESS [AB])</t>
  </si>
  <si>
    <t>200 kV</t>
  </si>
  <si>
    <t>400 kV</t>
  </si>
  <si>
    <t>Total (MW)</t>
  </si>
  <si>
    <t>Existing PS</t>
  </si>
  <si>
    <t>Jul-25 to Dec-25</t>
  </si>
  <si>
    <t>Jan-26 to Jun-26</t>
  </si>
  <si>
    <t>Jul-26 to Dec-31</t>
  </si>
  <si>
    <t xml:space="preserve">Beyond Dec-25 </t>
  </si>
  <si>
    <t>Data Scoure (Sl. No.(s)9)</t>
  </si>
  <si>
    <t>S.No.</t>
  </si>
  <si>
    <t xml:space="preserve">Existing </t>
  </si>
  <si>
    <t>Under Implementation</t>
  </si>
  <si>
    <t>Planned</t>
  </si>
  <si>
    <t>Element Code</t>
  </si>
  <si>
    <t>Inter/Intra Tx. Element</t>
  </si>
  <si>
    <t>Transmission Scope</t>
  </si>
  <si>
    <t>MVA</t>
  </si>
  <si>
    <t>Status</t>
  </si>
  <si>
    <t>Approval of Elements in which NCT</t>
  </si>
  <si>
    <t>Mode (TBCB/RTM)</t>
  </si>
  <si>
    <t>Tender Issuing Authority</t>
  </si>
  <si>
    <t>Date of tender issuance</t>
  </si>
  <si>
    <t xml:space="preserve"> Date of Bid Submission</t>
  </si>
  <si>
    <t>Execution Timeline</t>
  </si>
  <si>
    <t>Tentative SCOD</t>
  </si>
  <si>
    <t>Awarded To</t>
  </si>
  <si>
    <t>SPV Transfer Date</t>
  </si>
  <si>
    <t>Physical Progress S/s of Tx. Line</t>
  </si>
  <si>
    <t>Physical Progress  Substation</t>
  </si>
  <si>
    <t>Original SCOD</t>
  </si>
  <si>
    <t>Anticipated SCOD</t>
  </si>
  <si>
    <t>Length</t>
  </si>
  <si>
    <t>Location</t>
  </si>
  <si>
    <t>Foundation</t>
  </si>
  <si>
    <t>Erection</t>
  </si>
  <si>
    <t>Stringing</t>
  </si>
  <si>
    <t>Foundation (%)</t>
  </si>
  <si>
    <t>Erection (%)</t>
  </si>
  <si>
    <t>Stringing (%)</t>
  </si>
  <si>
    <t>Civil Work (%)</t>
  </si>
  <si>
    <t>Equipment Received (%)</t>
  </si>
  <si>
    <t>Equipment Erected (%)</t>
  </si>
  <si>
    <t>Data Scoure (Sl. No.(s)1, 2, 5, 6, 10b, 10c, 10d, 10e,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</si>
</sst>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theme="1"/>
      <name val="Adani Regular"/>
      <family val="2"/>
    </font>
    <font>
      <sz val="10"/>
      <color theme="1"/>
      <name val="Adani Regular"/>
      <family val="2"/>
    </font>
    <font>
      <b/>
      <sz val="12"/>
      <color theme="1"/>
      <name val="Adani Regular"/>
    </font>
    <font>
      <b/>
      <sz val="12"/>
      <color theme="1"/>
      <name val="Adani Regular"/>
      <family val="2"/>
    </font>
    <font>
      <b/>
      <sz val="10"/>
      <color theme="1"/>
      <name val="Adani Regular"/>
    </font>
    <font>
      <u/>
      <sz val="10"/>
      <color theme="10"/>
      <name val="Adani Regular"/>
      <family val="2"/>
    </font>
    <font>
      <b/>
      <sz val="11"/>
      <color rgb="FFFFFFFF"/>
      <name val="Adani Regular"/>
      <family val="2"/>
      <charset val="1"/>
    </font>
    <font>
      <b/>
      <sz val="10"/>
      <color rgb="FFFFFFFF"/>
      <name val="Adani Regular"/>
      <family val="2"/>
      <charset val="1"/>
    </font>
    <font>
      <sz val="9"/>
      <color theme="1"/>
      <name val="Adani Regular"/>
      <family val="2"/>
      <charset val="1"/>
    </font>
    <font>
      <sz val="8"/>
      <name val="Adani Regular"/>
      <family val="2"/>
    </font>
  </fonts>
  <fills count="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9" fontId="1" fillId="0" borderId="0" applyFont="0" applyFill="0" applyBorder="0" applyAlignment="0" applyProtection="0"/>
    <xf numFmtId="0" fontId="5" fillId="0" borderId="0" applyNumberFormat="0" applyFill="0" applyBorder="0" applyAlignment="0" applyProtection="0"/>
  </cellStyleXfs>
  <cellXfs count="3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4" xfId="0" applyFont="1" applyFill="1" applyBorder="1" applyAlignment="1">
      <alignment horizontal="centerContinuous" vertical="center" wrapText="1"/>
    </xf>
    <xf numFmtId="0" fontId="2" fillId="2" borderId="1" xfId="0" applyFont="1" applyFill="1" applyBorder="1" applyAlignment="1">
      <alignment horizontal="centerContinuous" vertical="center" wrapText="1"/>
    </xf>
    <xf numFmtId="0" fontId="3"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Continuous" vertical="distributed" wrapText="1"/>
    </xf>
    <xf numFmtId="0" fontId="2" fillId="2" borderId="2" xfId="0" applyFont="1" applyFill="1" applyBorder="1" applyAlignment="1">
      <alignment horizontal="centerContinuous" vertical="distributed"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0" borderId="0" xfId="0" applyAlignment="1">
      <alignment wrapText="1"/>
    </xf>
    <xf numFmtId="0" fontId="0" fillId="4" borderId="4" xfId="0" applyFill="1" applyBorder="1"/>
    <xf numFmtId="0" fontId="0" fillId="0" borderId="4" xfId="0" applyBorder="1"/>
    <xf numFmtId="14" fontId="0" fillId="0" borderId="4" xfId="0" applyNumberFormat="1" applyBorder="1"/>
    <xf numFmtId="9" fontId="0" fillId="0" borderId="4" xfId="1" applyFont="1" applyBorder="1"/>
    <xf numFmtId="0" fontId="2" fillId="2" borderId="2" xfId="0" applyFont="1" applyFill="1" applyBorder="1" applyAlignment="1">
      <alignment horizontal="centerContinuous" vertical="center" wrapText="1"/>
    </xf>
    <xf numFmtId="0" fontId="2" fillId="2" borderId="6" xfId="0" applyFont="1" applyFill="1" applyBorder="1" applyAlignment="1">
      <alignment horizontal="centerContinuous" vertical="center"/>
    </xf>
    <xf numFmtId="0" fontId="2" fillId="2" borderId="7" xfId="0" applyFont="1" applyFill="1" applyBorder="1" applyAlignment="1">
      <alignment horizontal="centerContinuous" vertical="center"/>
    </xf>
    <xf numFmtId="0" fontId="2" fillId="2" borderId="8" xfId="0" applyFont="1" applyFill="1" applyBorder="1" applyAlignment="1">
      <alignment horizontal="centerContinuous" vertical="center"/>
    </xf>
    <xf numFmtId="0" fontId="7" fillId="5" borderId="9" xfId="0" applyFont="1" applyFill="1" applyBorder="1" applyAlignment="1">
      <alignment wrapText="1"/>
    </xf>
    <xf numFmtId="0" fontId="6" fillId="5" borderId="9" xfId="0" applyFont="1" applyFill="1" applyBorder="1" applyAlignment="1">
      <alignment horizontal="center"/>
    </xf>
    <xf numFmtId="0" fontId="0" fillId="0" borderId="9" xfId="0" applyBorder="1" applyAlignment="1">
      <alignment horizontal="center"/>
    </xf>
    <xf numFmtId="0" fontId="7" fillId="5" borderId="9" xfId="0" applyFont="1" applyFill="1" applyBorder="1" applyAlignment="1">
      <alignment horizontal="center"/>
    </xf>
    <xf numFmtId="0" fontId="0" fillId="0" borderId="0" xfId="0" applyAlignment="1">
      <alignment horizontal="center"/>
    </xf>
    <xf numFmtId="0" fontId="0" fillId="0" borderId="4" xfId="0" applyBorder="1" applyAlignment="1">
      <alignment wrapText="1"/>
    </xf>
    <xf numFmtId="0" fontId="8" fillId="0" borderId="10" xfId="0" applyFont="1" applyBorder="1" applyAlignment="1">
      <alignment wrapText="1"/>
    </xf>
    <xf numFmtId="0" fontId="5" fillId="0" borderId="10" xfId="2" applyBorder="1" applyAlignment="1">
      <alignment wrapText="1"/>
    </xf>
    <xf numFmtId="0" fontId="7" fillId="5" borderId="11" xfId="0" applyFont="1" applyFill="1" applyBorder="1" applyAlignment="1">
      <alignment wrapText="1"/>
    </xf>
    <xf numFmtId="0" fontId="0" fillId="0" borderId="10" xfId="0" applyBorder="1" applyAlignment="1">
      <alignment wrapText="1"/>
    </xf>
    <xf numFmtId="0" fontId="5" fillId="0" borderId="0" xfId="2" applyAlignment="1">
      <alignment wrapText="1"/>
    </xf>
    <xf numFmtId="0" fontId="0" fillId="0" borderId="11" xfId="0" applyBorder="1" applyAlignment="1">
      <alignment horizontal="center"/>
    </xf>
    <xf numFmtId="0" fontId="0" fillId="0" borderId="12" xfId="0" applyBorder="1" applyAlignment="1">
      <alignment wrapText="1"/>
    </xf>
    <xf numFmtId="0" fontId="0" fillId="0" borderId="1" xfId="0" applyBorder="1"/>
    <xf numFmtId="0" fontId="0" fillId="0" borderId="4" xfId="0" applyBorder="1" applyAlignment="1">
      <alignment horizontal="center"/>
    </xf>
    <xf numFmtId="0" fontId="5" fillId="0" borderId="4" xfId="2" applyBorder="1" applyAlignment="1">
      <alignment wrapText="1"/>
    </xf>
    <xf numFmtId="0" fontId="3" fillId="2" borderId="3" xfId="0" applyFont="1" applyFill="1" applyBorder="1" applyAlignment="1">
      <alignment horizontal="center" vertical="center" wrapText="1"/>
    </xf>
  </cellXfs>
  <cellStyles count="3">
    <cellStyle name="Hyperlink" xfId="2" builtinId="8"/>
    <cellStyle name="Normal" xfId="0" builtinId="0"/>
    <cellStyle name="Percent" xfId="1" builtinId="5"/>
  </cellStyles>
  <dxfs count="0"/>
  <tableStyles count="1" defaultTableStyle="TableStyleMedium2" defaultPivotStyle="PivotStyleLight16">
    <tableStyle name="Invisible" pivot="0" table="0" count="0" xr9:uid="{6213563B-77D9-46D0-84DE-7952CE3A77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ea.nic.in/psp___a_i/transmission-system-for-integration-of-over-500-gw-non-fossil-capacity-by-2030/?lang=en" TargetMode="External"/><Relationship Id="rId13" Type="http://schemas.openxmlformats.org/officeDocument/2006/relationships/hyperlink" Target="https://openinframap.org/" TargetMode="External"/><Relationship Id="rId3" Type="http://schemas.openxmlformats.org/officeDocument/2006/relationships/hyperlink" Target="https://www.ctuil.in/bidding-calendar" TargetMode="External"/><Relationship Id="rId7" Type="http://schemas.openxmlformats.org/officeDocument/2006/relationships/hyperlink" Target="https://www.ctuil.in/renewable-energy" TargetMode="External"/><Relationship Id="rId12" Type="http://schemas.openxmlformats.org/officeDocument/2006/relationships/hyperlink" Target="https://globalwindatlas.info/en/" TargetMode="External"/><Relationship Id="rId2" Type="http://schemas.openxmlformats.org/officeDocument/2006/relationships/hyperlink" Target="https://www.ctuil.in/reallocation_meetings" TargetMode="External"/><Relationship Id="rId1" Type="http://schemas.openxmlformats.org/officeDocument/2006/relationships/hyperlink" Target="https://www.ctuil.in/regenerators" TargetMode="External"/><Relationship Id="rId6" Type="http://schemas.openxmlformats.org/officeDocument/2006/relationships/hyperlink" Target="https://www.ctuil.in/connectivityannexures" TargetMode="External"/><Relationship Id="rId11" Type="http://schemas.openxmlformats.org/officeDocument/2006/relationships/hyperlink" Target="https://cea.nic.in/transmission-reports/?lang=en" TargetMode="External"/><Relationship Id="rId5" Type="http://schemas.openxmlformats.org/officeDocument/2006/relationships/hyperlink" Target="https://www.ctuil.in/uploads/assets/175040253742List%20of%20applicant%20due%20for%20complaince%20June%20to%20Aug'25.pdf" TargetMode="External"/><Relationship Id="rId10" Type="http://schemas.openxmlformats.org/officeDocument/2006/relationships/hyperlink" Target="https://cea.nic.in/comm-trans/national-committee-on-transmission/?lang=en" TargetMode="External"/><Relationship Id="rId4" Type="http://schemas.openxmlformats.org/officeDocument/2006/relationships/hyperlink" Target="https://cea.nic.in/transmission-reports/?lang=en" TargetMode="External"/><Relationship Id="rId9" Type="http://schemas.openxmlformats.org/officeDocument/2006/relationships/hyperlink" Target="https://ctuil.in/substation-bulk-consume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2E89-A5F1-4E7E-A87A-CA4707F5CA93}">
  <dimension ref="B2:D22"/>
  <sheetViews>
    <sheetView zoomScaleNormal="90" workbookViewId="0">
      <selection activeCell="C3" sqref="C3"/>
    </sheetView>
  </sheetViews>
  <sheetFormatPr defaultRowHeight="12.6"/>
  <cols>
    <col min="2" max="2" width="9.140625" style="25"/>
    <col min="3" max="3" width="116.42578125" style="12" customWidth="1"/>
  </cols>
  <sheetData>
    <row r="2" spans="2:4" ht="26.1">
      <c r="B2" s="22" t="s">
        <v>0</v>
      </c>
      <c r="C2" s="21" t="s">
        <v>1</v>
      </c>
      <c r="D2" s="29" t="s">
        <v>2</v>
      </c>
    </row>
    <row r="3" spans="2:4">
      <c r="B3" s="23">
        <v>1</v>
      </c>
      <c r="C3" s="27" t="s">
        <v>3</v>
      </c>
      <c r="D3" s="14" t="s">
        <v>4</v>
      </c>
    </row>
    <row r="4" spans="2:4" ht="23.1">
      <c r="B4" s="23">
        <v>2</v>
      </c>
      <c r="C4" s="27" t="s">
        <v>5</v>
      </c>
      <c r="D4" s="14" t="s">
        <v>4</v>
      </c>
    </row>
    <row r="5" spans="2:4">
      <c r="B5" s="23">
        <v>3</v>
      </c>
      <c r="C5" s="28" t="s">
        <v>6</v>
      </c>
      <c r="D5" s="14" t="s">
        <v>4</v>
      </c>
    </row>
    <row r="6" spans="2:4">
      <c r="B6" s="23">
        <v>4</v>
      </c>
      <c r="C6" s="28" t="s">
        <v>7</v>
      </c>
      <c r="D6" s="14" t="s">
        <v>8</v>
      </c>
    </row>
    <row r="7" spans="2:4">
      <c r="B7" s="23">
        <v>5</v>
      </c>
      <c r="C7" s="28" t="s">
        <v>9</v>
      </c>
      <c r="D7" s="14" t="s">
        <v>8</v>
      </c>
    </row>
    <row r="8" spans="2:4">
      <c r="B8" s="23">
        <v>6</v>
      </c>
      <c r="C8" s="28" t="s">
        <v>10</v>
      </c>
      <c r="D8" s="14" t="s">
        <v>4</v>
      </c>
    </row>
    <row r="9" spans="2:4">
      <c r="B9" s="23">
        <v>7</v>
      </c>
      <c r="C9" s="28" t="s">
        <v>11</v>
      </c>
      <c r="D9" s="14" t="s">
        <v>4</v>
      </c>
    </row>
    <row r="10" spans="2:4">
      <c r="B10" s="23">
        <v>8</v>
      </c>
      <c r="C10" s="28" t="s">
        <v>12</v>
      </c>
      <c r="D10" s="14" t="s">
        <v>4</v>
      </c>
    </row>
    <row r="12" spans="2:4" ht="26.1">
      <c r="B12" s="24" t="s">
        <v>0</v>
      </c>
      <c r="C12" s="21" t="s">
        <v>13</v>
      </c>
      <c r="D12" s="29" t="s">
        <v>2</v>
      </c>
    </row>
    <row r="13" spans="2:4" ht="24.95">
      <c r="B13" s="23">
        <v>9</v>
      </c>
      <c r="C13" s="28" t="s">
        <v>14</v>
      </c>
      <c r="D13" s="14" t="s">
        <v>8</v>
      </c>
    </row>
    <row r="14" spans="2:4">
      <c r="B14" s="23" t="s">
        <v>15</v>
      </c>
      <c r="C14" s="28" t="s">
        <v>16</v>
      </c>
      <c r="D14" s="14" t="s">
        <v>8</v>
      </c>
    </row>
    <row r="15" spans="2:4" ht="24.95">
      <c r="B15" s="23" t="s">
        <v>17</v>
      </c>
      <c r="C15" s="31" t="s">
        <v>18</v>
      </c>
      <c r="D15" s="14" t="s">
        <v>4</v>
      </c>
    </row>
    <row r="16" spans="2:4" ht="62.45">
      <c r="B16" s="23" t="s">
        <v>19</v>
      </c>
      <c r="C16" s="30" t="s">
        <v>20</v>
      </c>
      <c r="D16" s="14" t="s">
        <v>4</v>
      </c>
    </row>
    <row r="17" spans="2:4" ht="37.5">
      <c r="B17" s="23" t="s">
        <v>21</v>
      </c>
      <c r="C17" s="28" t="s">
        <v>22</v>
      </c>
      <c r="D17" s="14" t="s">
        <v>4</v>
      </c>
    </row>
    <row r="18" spans="2:4">
      <c r="B18" s="23" t="s">
        <v>23</v>
      </c>
      <c r="C18" s="30" t="s">
        <v>24</v>
      </c>
      <c r="D18" s="14"/>
    </row>
    <row r="19" spans="2:4">
      <c r="B19" s="23">
        <v>11</v>
      </c>
      <c r="C19" s="28" t="s">
        <v>25</v>
      </c>
      <c r="D19" s="14" t="s">
        <v>8</v>
      </c>
    </row>
    <row r="20" spans="2:4" ht="24.95">
      <c r="B20" s="32">
        <v>12</v>
      </c>
      <c r="C20" s="33" t="s">
        <v>26</v>
      </c>
      <c r="D20" s="34" t="s">
        <v>8</v>
      </c>
    </row>
    <row r="21" spans="2:4">
      <c r="B21" s="35">
        <v>13</v>
      </c>
      <c r="C21" s="36" t="s">
        <v>27</v>
      </c>
      <c r="D21" s="34" t="s">
        <v>8</v>
      </c>
    </row>
    <row r="22" spans="2:4">
      <c r="B22" s="35">
        <v>14</v>
      </c>
      <c r="C22" s="36" t="s">
        <v>28</v>
      </c>
      <c r="D22" s="34" t="s">
        <v>8</v>
      </c>
    </row>
  </sheetData>
  <hyperlinks>
    <hyperlink ref="C5" r:id="rId1" xr:uid="{0027BC6C-FE1E-49DE-BCCA-99D9ADE9DB68}"/>
    <hyperlink ref="C6" r:id="rId2" xr:uid="{36AAC551-4D87-4288-A672-4257E41C3B3F}"/>
    <hyperlink ref="C7" r:id="rId3" xr:uid="{10322A1F-0D95-4006-8CA9-467CD5AF6708}"/>
    <hyperlink ref="C8" r:id="rId4" xr:uid="{9576E5CC-956F-43CF-B40F-6BA52417F20A}"/>
    <hyperlink ref="C9" r:id="rId5" xr:uid="{6CBF7FCF-9BFC-4D7A-AA7D-8BB92E1B03B2}"/>
    <hyperlink ref="C10" r:id="rId6" xr:uid="{A0D341D1-CCF5-46AB-890E-FD74316B0223}"/>
    <hyperlink ref="C13" r:id="rId7" xr:uid="{22B76FB3-265D-4AD1-8D3D-F031A96A88DF}"/>
    <hyperlink ref="C14" r:id="rId8" xr:uid="{7ABEA51F-6C50-48D5-8F80-6F60298350C6}"/>
    <hyperlink ref="C19" r:id="rId9" xr:uid="{A3C822EC-6EE1-4505-A182-B5958D941D6E}"/>
    <hyperlink ref="C15" r:id="rId10" display="https://cea.nic.in/comm-trans/national-committee-on-transmission/?lang=en" xr:uid="{3CD1AE45-1CDB-4DD8-AAE5-8654A138A867}"/>
    <hyperlink ref="C17" r:id="rId11" display="https://cea.nic.in/transmission-reports/?lang=en" xr:uid="{C86739B8-55F2-4802-84E0-5FAF2A516D56}"/>
    <hyperlink ref="C21" r:id="rId12" display="Global Wind Atlas" xr:uid="{E2B9D915-9F7E-415B-ABB1-08E9D11DDB18}"/>
    <hyperlink ref="C22" r:id="rId13" location="8.12/23.96/70.256" display="Open Infrastructure Map" xr:uid="{2A29AF61-BEEB-4C2B-A328-439D43B2A6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C0D7-2472-4093-B6C3-EA6C7E138F8E}">
  <dimension ref="A2:AU9"/>
  <sheetViews>
    <sheetView topLeftCell="P2" workbookViewId="0">
      <selection activeCell="Y5" sqref="Y5"/>
    </sheetView>
  </sheetViews>
  <sheetFormatPr defaultRowHeight="12.6"/>
  <cols>
    <col min="1" max="1" width="41.28515625" customWidth="1"/>
    <col min="5" max="5" width="10.7109375" customWidth="1"/>
    <col min="6" max="6" width="15.140625" customWidth="1"/>
    <col min="9" max="10" width="13" customWidth="1"/>
    <col min="11" max="11" width="24.5703125" bestFit="1" customWidth="1"/>
    <col min="12" max="12" width="15.140625" bestFit="1" customWidth="1"/>
    <col min="13" max="15" width="15.140625" customWidth="1"/>
    <col min="17" max="17" width="14" customWidth="1"/>
    <col min="18" max="18" width="10.5703125" customWidth="1"/>
    <col min="30" max="30" width="15.7109375" customWidth="1"/>
    <col min="31" max="31" width="11.42578125" customWidth="1"/>
    <col min="32" max="32" width="25.140625" bestFit="1" customWidth="1"/>
    <col min="33" max="33" width="16" bestFit="1" customWidth="1"/>
    <col min="34" max="34" width="20.28515625" bestFit="1" customWidth="1"/>
    <col min="35" max="35" width="23.28515625" bestFit="1" customWidth="1"/>
    <col min="36" max="37" width="16" customWidth="1"/>
    <col min="38" max="38" width="8" customWidth="1"/>
    <col min="39" max="39" width="10.42578125" customWidth="1"/>
    <col min="40" max="40" width="13.5703125" customWidth="1"/>
    <col min="41" max="41" width="13.7109375" customWidth="1"/>
    <col min="42" max="43" width="11.5703125" customWidth="1"/>
    <col min="44" max="44" width="10.85546875" hidden="1" customWidth="1"/>
    <col min="45" max="45" width="0" hidden="1" customWidth="1"/>
    <col min="46" max="46" width="18.140625" hidden="1" customWidth="1"/>
  </cols>
  <sheetData>
    <row r="2" spans="1:47" ht="89.25" customHeight="1">
      <c r="B2" s="7" t="s">
        <v>29</v>
      </c>
      <c r="C2" s="1" t="s">
        <v>30</v>
      </c>
      <c r="D2" s="1" t="s">
        <v>31</v>
      </c>
      <c r="E2" s="1" t="s">
        <v>32</v>
      </c>
      <c r="F2" s="1" t="s">
        <v>33</v>
      </c>
      <c r="G2" s="1" t="s">
        <v>34</v>
      </c>
      <c r="H2" s="1" t="s">
        <v>35</v>
      </c>
      <c r="I2" s="1" t="s">
        <v>36</v>
      </c>
      <c r="J2" s="1" t="s">
        <v>37</v>
      </c>
      <c r="K2" s="1" t="s">
        <v>38</v>
      </c>
      <c r="L2" s="1" t="s">
        <v>39</v>
      </c>
      <c r="M2" s="1" t="s">
        <v>40</v>
      </c>
      <c r="N2" s="1" t="s">
        <v>41</v>
      </c>
      <c r="O2" s="1" t="s">
        <v>42</v>
      </c>
      <c r="P2" s="1" t="s">
        <v>43</v>
      </c>
      <c r="Q2" s="1" t="s">
        <v>44</v>
      </c>
      <c r="R2" s="1" t="s">
        <v>45</v>
      </c>
      <c r="S2" s="4" t="s">
        <v>46</v>
      </c>
      <c r="T2" s="4"/>
      <c r="U2" s="4"/>
      <c r="V2" s="18" t="s">
        <v>47</v>
      </c>
      <c r="W2" s="19"/>
      <c r="X2" s="20"/>
      <c r="Y2" s="18" t="s">
        <v>48</v>
      </c>
      <c r="Z2" s="19"/>
      <c r="AA2" s="19"/>
      <c r="AB2" s="3" t="s">
        <v>49</v>
      </c>
      <c r="AC2" s="3"/>
      <c r="AD2" s="1" t="s">
        <v>50</v>
      </c>
      <c r="AE2" s="1" t="s">
        <v>51</v>
      </c>
      <c r="AF2" s="1" t="s">
        <v>52</v>
      </c>
      <c r="AG2" s="5" t="s">
        <v>53</v>
      </c>
      <c r="AH2" s="5" t="s">
        <v>54</v>
      </c>
      <c r="AI2" s="5" t="s">
        <v>55</v>
      </c>
      <c r="AJ2" s="5" t="s">
        <v>56</v>
      </c>
      <c r="AK2" s="37" t="s">
        <v>57</v>
      </c>
      <c r="AL2" s="10" t="s">
        <v>58</v>
      </c>
      <c r="AM2" s="1" t="s">
        <v>59</v>
      </c>
      <c r="AN2" s="1" t="s">
        <v>60</v>
      </c>
      <c r="AO2" s="1" t="s">
        <v>61</v>
      </c>
      <c r="AP2" s="1" t="s">
        <v>62</v>
      </c>
      <c r="AQ2" s="1" t="s">
        <v>63</v>
      </c>
      <c r="AR2" s="1" t="s">
        <v>64</v>
      </c>
      <c r="AS2" s="1" t="s">
        <v>65</v>
      </c>
      <c r="AT2" s="4" t="s">
        <v>66</v>
      </c>
      <c r="AU2" s="1" t="s">
        <v>67</v>
      </c>
    </row>
    <row r="3" spans="1:47" ht="53.25">
      <c r="B3" s="8"/>
      <c r="C3" s="2"/>
      <c r="D3" s="2"/>
      <c r="E3" s="2"/>
      <c r="F3" s="2"/>
      <c r="G3" s="2"/>
      <c r="H3" s="2"/>
      <c r="I3" s="2"/>
      <c r="J3" s="2"/>
      <c r="K3" s="2"/>
      <c r="L3" s="2"/>
      <c r="M3" s="2"/>
      <c r="N3" s="2"/>
      <c r="O3" s="2"/>
      <c r="P3" s="2"/>
      <c r="Q3" s="2"/>
      <c r="R3" s="2"/>
      <c r="S3" s="6" t="s">
        <v>68</v>
      </c>
      <c r="T3" s="6" t="s">
        <v>69</v>
      </c>
      <c r="U3" s="6" t="s">
        <v>70</v>
      </c>
      <c r="V3" s="6" t="s">
        <v>71</v>
      </c>
      <c r="W3" s="6" t="s">
        <v>72</v>
      </c>
      <c r="X3" s="6" t="s">
        <v>73</v>
      </c>
      <c r="Y3" s="6" t="s">
        <v>71</v>
      </c>
      <c r="Z3" s="6" t="s">
        <v>72</v>
      </c>
      <c r="AA3" s="6" t="s">
        <v>73</v>
      </c>
      <c r="AB3" s="2" t="s">
        <v>74</v>
      </c>
      <c r="AC3" s="2" t="s">
        <v>75</v>
      </c>
      <c r="AD3" s="2"/>
      <c r="AE3" s="2"/>
      <c r="AF3" s="2"/>
      <c r="AG3" s="2"/>
      <c r="AH3" s="2"/>
      <c r="AI3" s="9"/>
      <c r="AJ3" s="2"/>
      <c r="AK3" s="2"/>
      <c r="AL3" s="2"/>
      <c r="AM3" s="2"/>
      <c r="AN3" s="2"/>
      <c r="AO3" s="2"/>
      <c r="AP3" s="2"/>
      <c r="AQ3" s="2"/>
      <c r="AR3" s="17"/>
      <c r="AS3" s="2"/>
      <c r="AU3" s="2"/>
    </row>
    <row r="4" spans="1:47">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U4" s="14"/>
    </row>
    <row r="5" spans="1:47">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U5" s="14"/>
    </row>
    <row r="6" spans="1:47">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U6" s="14"/>
    </row>
    <row r="7" spans="1:47">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U7" s="14"/>
    </row>
    <row r="9" spans="1:47">
      <c r="A9" t="s">
        <v>76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8F2C-871E-4E6A-8020-CA40AF438235}">
  <dimension ref="A2:Q4"/>
  <sheetViews>
    <sheetView workbookViewId="0">
      <selection activeCell="B2" sqref="B2"/>
    </sheetView>
  </sheetViews>
  <sheetFormatPr defaultRowHeight="12.6"/>
  <cols>
    <col min="1" max="1" width="39.7109375" customWidth="1"/>
  </cols>
  <sheetData>
    <row r="2" spans="1:17" ht="39">
      <c r="B2" s="11" t="s">
        <v>30</v>
      </c>
      <c r="C2" s="11" t="s">
        <v>31</v>
      </c>
      <c r="D2" s="11" t="s">
        <v>77</v>
      </c>
      <c r="E2" s="11" t="s">
        <v>78</v>
      </c>
      <c r="F2" s="11" t="s">
        <v>79</v>
      </c>
      <c r="G2" s="11" t="s">
        <v>80</v>
      </c>
      <c r="H2" s="11" t="s">
        <v>68</v>
      </c>
      <c r="I2" s="11" t="s">
        <v>69</v>
      </c>
      <c r="J2" s="11" t="s">
        <v>70</v>
      </c>
      <c r="K2" s="11" t="s">
        <v>81</v>
      </c>
      <c r="L2" s="11" t="s">
        <v>82</v>
      </c>
      <c r="M2" s="11" t="s">
        <v>83</v>
      </c>
      <c r="N2" s="11" t="s">
        <v>84</v>
      </c>
      <c r="O2" s="11" t="s">
        <v>85</v>
      </c>
      <c r="P2" s="11" t="s">
        <v>86</v>
      </c>
      <c r="Q2" s="11" t="s">
        <v>67</v>
      </c>
    </row>
    <row r="3" spans="1:17">
      <c r="B3" s="14"/>
      <c r="C3" s="14"/>
      <c r="D3" s="14"/>
      <c r="E3" s="14"/>
      <c r="F3" s="14"/>
      <c r="G3" s="14"/>
      <c r="H3" s="14"/>
      <c r="I3" s="14"/>
      <c r="J3" s="14"/>
      <c r="K3" s="14"/>
      <c r="L3" s="14"/>
      <c r="M3" s="14"/>
      <c r="N3" s="14"/>
      <c r="O3" s="14"/>
      <c r="P3" s="14"/>
      <c r="Q3" s="14"/>
    </row>
    <row r="4" spans="1:17">
      <c r="A4"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C197E-9C6C-4677-A5F0-2524ABF20077}">
  <dimension ref="A2:W9"/>
  <sheetViews>
    <sheetView topLeftCell="J2" workbookViewId="0">
      <selection activeCell="O9" sqref="O9"/>
    </sheetView>
  </sheetViews>
  <sheetFormatPr defaultRowHeight="12.6"/>
  <cols>
    <col min="1" max="1" width="39.85546875" customWidth="1"/>
    <col min="6" max="6" width="20.85546875" customWidth="1"/>
    <col min="7" max="7" width="19.5703125" customWidth="1"/>
    <col min="8" max="8" width="14.42578125" customWidth="1"/>
    <col min="9" max="9" width="33" customWidth="1"/>
    <col min="10" max="10" width="22.85546875" bestFit="1" customWidth="1"/>
    <col min="11" max="11" width="15" customWidth="1"/>
    <col min="23" max="23" width="60.140625" customWidth="1"/>
  </cols>
  <sheetData>
    <row r="2" spans="1:23" ht="62.1">
      <c r="B2" s="7" t="s">
        <v>88</v>
      </c>
      <c r="C2" s="1" t="s">
        <v>31</v>
      </c>
      <c r="D2" s="1" t="s">
        <v>30</v>
      </c>
      <c r="E2" s="1" t="s">
        <v>89</v>
      </c>
      <c r="F2" s="1" t="s">
        <v>90</v>
      </c>
      <c r="G2" s="4" t="s">
        <v>91</v>
      </c>
      <c r="H2" s="4"/>
      <c r="I2" s="4"/>
      <c r="J2" s="1" t="s">
        <v>92</v>
      </c>
      <c r="K2" s="4" t="s">
        <v>93</v>
      </c>
      <c r="L2" s="4"/>
      <c r="M2" s="4"/>
      <c r="N2" s="4" t="s">
        <v>93</v>
      </c>
      <c r="O2" s="4"/>
      <c r="P2" s="4"/>
      <c r="Q2" s="4" t="s">
        <v>94</v>
      </c>
      <c r="R2" s="4"/>
      <c r="S2" s="4"/>
      <c r="T2" s="4" t="s">
        <v>95</v>
      </c>
      <c r="U2" s="4"/>
      <c r="V2" s="4"/>
      <c r="W2" s="4" t="s">
        <v>96</v>
      </c>
    </row>
    <row r="3" spans="1:23" ht="30.95">
      <c r="B3" s="8"/>
      <c r="C3" s="2"/>
      <c r="D3" s="2"/>
      <c r="E3" s="2"/>
      <c r="F3" s="2"/>
      <c r="G3" s="6" t="s">
        <v>97</v>
      </c>
      <c r="H3" s="6" t="s">
        <v>98</v>
      </c>
      <c r="I3" s="6" t="s">
        <v>99</v>
      </c>
      <c r="J3" s="2"/>
      <c r="K3" s="6" t="s">
        <v>100</v>
      </c>
      <c r="L3" s="6" t="s">
        <v>101</v>
      </c>
      <c r="M3" s="6" t="s">
        <v>102</v>
      </c>
      <c r="N3" s="6" t="s">
        <v>100</v>
      </c>
      <c r="O3" s="6" t="s">
        <v>101</v>
      </c>
      <c r="P3" s="6" t="s">
        <v>102</v>
      </c>
      <c r="Q3" s="6" t="s">
        <v>100</v>
      </c>
      <c r="R3" s="6" t="s">
        <v>101</v>
      </c>
      <c r="S3" s="6" t="s">
        <v>102</v>
      </c>
      <c r="T3" s="6" t="s">
        <v>100</v>
      </c>
      <c r="U3" s="6" t="s">
        <v>101</v>
      </c>
      <c r="V3" s="6" t="s">
        <v>102</v>
      </c>
      <c r="W3" s="6"/>
    </row>
    <row r="4" spans="1:23">
      <c r="B4" s="14"/>
      <c r="C4" s="14"/>
      <c r="D4" s="14"/>
      <c r="E4" s="14"/>
      <c r="F4" s="26" t="s">
        <v>103</v>
      </c>
      <c r="G4" s="14"/>
      <c r="H4" s="14"/>
      <c r="I4" s="14"/>
      <c r="J4" s="14"/>
      <c r="K4" s="14"/>
      <c r="L4" s="14"/>
      <c r="M4" s="14"/>
      <c r="N4" s="14"/>
      <c r="O4" s="14"/>
      <c r="P4" s="14"/>
      <c r="Q4" s="14"/>
      <c r="R4" s="14"/>
      <c r="S4" s="14"/>
      <c r="T4" s="14"/>
      <c r="U4" s="14"/>
      <c r="V4" s="14"/>
      <c r="W4" s="14"/>
    </row>
    <row r="5" spans="1:23">
      <c r="B5" s="14"/>
      <c r="C5" s="14"/>
      <c r="D5" s="14"/>
      <c r="E5" s="14"/>
      <c r="F5" s="14" t="s">
        <v>104</v>
      </c>
      <c r="G5" s="14"/>
      <c r="H5" s="14"/>
      <c r="I5" s="14"/>
      <c r="J5" s="14"/>
      <c r="K5" s="14"/>
      <c r="L5" s="14"/>
      <c r="M5" s="14"/>
      <c r="N5" s="14"/>
      <c r="O5" s="14"/>
      <c r="P5" s="14"/>
      <c r="Q5" s="14"/>
      <c r="R5" s="14"/>
      <c r="S5" s="14"/>
      <c r="T5" s="14"/>
      <c r="U5" s="14"/>
      <c r="V5" s="14"/>
      <c r="W5" s="14"/>
    </row>
    <row r="6" spans="1:23">
      <c r="B6" s="14"/>
      <c r="C6" s="14"/>
      <c r="D6" s="14"/>
      <c r="E6" s="14"/>
      <c r="F6" s="14" t="s">
        <v>105</v>
      </c>
      <c r="G6" s="14"/>
      <c r="H6" s="14"/>
      <c r="I6" s="14"/>
      <c r="J6" s="14"/>
      <c r="K6" s="14"/>
      <c r="L6" s="14"/>
      <c r="M6" s="14"/>
      <c r="N6" s="14"/>
      <c r="O6" s="14"/>
      <c r="P6" s="14"/>
      <c r="Q6" s="14"/>
      <c r="R6" s="14"/>
      <c r="S6" s="14"/>
      <c r="T6" s="14"/>
      <c r="U6" s="14"/>
      <c r="V6" s="14"/>
      <c r="W6" s="14"/>
    </row>
    <row r="7" spans="1:23">
      <c r="B7" s="14"/>
      <c r="C7" s="14"/>
      <c r="D7" s="14"/>
      <c r="E7" s="14"/>
      <c r="F7" s="14" t="s">
        <v>106</v>
      </c>
      <c r="G7" s="14"/>
      <c r="H7" s="14"/>
      <c r="I7" s="14"/>
      <c r="J7" s="14"/>
      <c r="K7" s="14"/>
      <c r="L7" s="14"/>
      <c r="M7" s="14"/>
      <c r="N7" s="14"/>
      <c r="O7" s="14"/>
      <c r="P7" s="14"/>
      <c r="Q7" s="14"/>
      <c r="R7" s="14"/>
      <c r="S7" s="14"/>
      <c r="T7" s="14"/>
      <c r="U7" s="14"/>
      <c r="V7" s="14"/>
      <c r="W7" s="14"/>
    </row>
    <row r="8" spans="1:23">
      <c r="B8" s="14"/>
      <c r="C8" s="14"/>
      <c r="D8" s="14"/>
      <c r="E8" s="14"/>
      <c r="F8" s="14" t="s">
        <v>107</v>
      </c>
      <c r="G8" s="14"/>
      <c r="H8" s="14"/>
      <c r="I8" s="14"/>
      <c r="J8" s="14"/>
      <c r="K8" s="14"/>
      <c r="L8" s="14"/>
      <c r="M8" s="14"/>
      <c r="N8" s="14"/>
      <c r="O8" s="14"/>
      <c r="P8" s="14"/>
      <c r="Q8" s="14"/>
      <c r="R8" s="14"/>
      <c r="S8" s="14"/>
      <c r="T8" s="14"/>
      <c r="U8" s="14"/>
      <c r="V8" s="14"/>
      <c r="W8" s="14"/>
    </row>
    <row r="9" spans="1:23">
      <c r="A9" t="s">
        <v>108</v>
      </c>
    </row>
  </sheetData>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502C-EF58-4807-8A73-393318583D69}">
  <dimension ref="A3:H6"/>
  <sheetViews>
    <sheetView tabSelected="1" workbookViewId="0">
      <selection activeCell="D4" sqref="D4"/>
    </sheetView>
  </sheetViews>
  <sheetFormatPr defaultRowHeight="12.6"/>
  <cols>
    <col min="1" max="1" width="39.28515625" customWidth="1"/>
    <col min="7" max="7" width="15.85546875" bestFit="1" customWidth="1"/>
  </cols>
  <sheetData>
    <row r="3" spans="1:8">
      <c r="B3" s="13" t="s">
        <v>109</v>
      </c>
      <c r="C3" s="13" t="s">
        <v>30</v>
      </c>
      <c r="D3" s="13" t="s">
        <v>31</v>
      </c>
      <c r="E3" s="13" t="s">
        <v>32</v>
      </c>
      <c r="F3" s="13" t="s">
        <v>110</v>
      </c>
      <c r="G3" s="13" t="s">
        <v>111</v>
      </c>
      <c r="H3" s="13" t="s">
        <v>112</v>
      </c>
    </row>
    <row r="4" spans="1:8">
      <c r="B4" s="14"/>
      <c r="C4" s="14"/>
      <c r="D4" s="14"/>
      <c r="E4" s="14"/>
      <c r="F4" s="14"/>
      <c r="G4" s="14"/>
      <c r="H4" s="14"/>
    </row>
    <row r="6" spans="1:8">
      <c r="A6"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A2CE-E5BA-47FB-ADE6-218C51B1146D}">
  <dimension ref="A2:AD6"/>
  <sheetViews>
    <sheetView zoomScale="83" workbookViewId="0">
      <selection activeCell="A7" sqref="A7"/>
    </sheetView>
  </sheetViews>
  <sheetFormatPr defaultRowHeight="12.6"/>
  <cols>
    <col min="1" max="1" width="37.85546875" customWidth="1"/>
    <col min="2" max="2" width="20.5703125" customWidth="1"/>
    <col min="3" max="3" width="21.28515625" customWidth="1"/>
    <col min="4" max="4" width="12.5703125" customWidth="1"/>
    <col min="5" max="16" width="15.42578125" customWidth="1"/>
    <col min="22" max="22" width="11.140625" customWidth="1"/>
    <col min="26" max="26" width="10.42578125" customWidth="1"/>
    <col min="27" max="27" width="10" customWidth="1"/>
    <col min="28" max="28" width="12.7109375" bestFit="1" customWidth="1"/>
    <col min="29" max="29" width="16" bestFit="1" customWidth="1"/>
    <col min="30" max="30" width="10" customWidth="1"/>
  </cols>
  <sheetData>
    <row r="2" spans="1:30" ht="46.5">
      <c r="B2" s="1" t="s">
        <v>113</v>
      </c>
      <c r="C2" s="1" t="s">
        <v>114</v>
      </c>
      <c r="D2" s="1" t="s">
        <v>85</v>
      </c>
      <c r="E2" s="1" t="s">
        <v>115</v>
      </c>
      <c r="F2" s="1" t="s">
        <v>116</v>
      </c>
      <c r="G2" s="1" t="s">
        <v>117</v>
      </c>
      <c r="H2" s="1" t="s">
        <v>118</v>
      </c>
      <c r="I2" s="1" t="s">
        <v>119</v>
      </c>
      <c r="J2" s="1" t="s">
        <v>120</v>
      </c>
      <c r="K2" s="1" t="s">
        <v>121</v>
      </c>
      <c r="L2" s="1" t="s">
        <v>122</v>
      </c>
      <c r="M2" s="1" t="s">
        <v>123</v>
      </c>
      <c r="N2" s="1" t="s">
        <v>124</v>
      </c>
      <c r="O2" s="1" t="s">
        <v>125</v>
      </c>
      <c r="P2" s="1" t="s">
        <v>126</v>
      </c>
      <c r="Q2" s="4" t="s">
        <v>127</v>
      </c>
      <c r="R2" s="4"/>
      <c r="S2" s="4"/>
      <c r="T2" s="4"/>
      <c r="U2" s="4"/>
      <c r="V2" s="4"/>
      <c r="W2" s="4"/>
      <c r="X2" s="4"/>
      <c r="Y2" s="4" t="s">
        <v>128</v>
      </c>
      <c r="Z2" s="4"/>
      <c r="AA2" s="4"/>
      <c r="AB2" s="4" t="s">
        <v>129</v>
      </c>
      <c r="AC2" s="4" t="s">
        <v>130</v>
      </c>
      <c r="AD2" s="4" t="s">
        <v>67</v>
      </c>
    </row>
    <row r="3" spans="1:30" ht="62.1">
      <c r="B3" s="2"/>
      <c r="C3" s="2"/>
      <c r="D3" s="2"/>
      <c r="E3" s="2"/>
      <c r="F3" s="2"/>
      <c r="G3" s="2"/>
      <c r="H3" s="2"/>
      <c r="I3" s="2"/>
      <c r="J3" s="2"/>
      <c r="K3" s="2"/>
      <c r="L3" s="2"/>
      <c r="M3" s="2"/>
      <c r="N3" s="2"/>
      <c r="O3" s="2"/>
      <c r="P3" s="2"/>
      <c r="Q3" s="6" t="s">
        <v>131</v>
      </c>
      <c r="R3" s="6" t="s">
        <v>132</v>
      </c>
      <c r="S3" s="6" t="s">
        <v>133</v>
      </c>
      <c r="T3" s="6" t="s">
        <v>134</v>
      </c>
      <c r="U3" s="6" t="s">
        <v>135</v>
      </c>
      <c r="V3" s="6" t="s">
        <v>136</v>
      </c>
      <c r="W3" s="6" t="s">
        <v>137</v>
      </c>
      <c r="X3" s="6" t="s">
        <v>138</v>
      </c>
      <c r="Y3" s="6" t="s">
        <v>139</v>
      </c>
      <c r="Z3" s="6" t="s">
        <v>140</v>
      </c>
      <c r="AA3" s="6" t="s">
        <v>141</v>
      </c>
      <c r="AB3" s="2"/>
      <c r="AC3" s="2"/>
      <c r="AD3" s="2"/>
    </row>
    <row r="4" spans="1:30">
      <c r="B4" s="14"/>
      <c r="C4" s="14"/>
      <c r="D4" s="14"/>
      <c r="E4" s="14"/>
      <c r="F4" s="14"/>
      <c r="G4" s="14"/>
      <c r="H4" s="14"/>
      <c r="I4" s="14"/>
      <c r="J4" s="14"/>
      <c r="K4" s="14"/>
      <c r="L4" s="14"/>
      <c r="M4" s="14">
        <v>24</v>
      </c>
      <c r="N4" s="15">
        <f ca="1">DATE(YEAR(TODAY()), MONTH(TODAY()+M4), DAY(TODAY()))</f>
        <v>45667</v>
      </c>
      <c r="O4" s="14"/>
      <c r="P4" s="14"/>
      <c r="Q4" s="14"/>
      <c r="R4" s="14"/>
      <c r="S4" s="14"/>
      <c r="T4" s="14"/>
      <c r="U4" s="14"/>
      <c r="V4" s="16" t="e">
        <f>S4/$R$4</f>
        <v>#DIV/0!</v>
      </c>
      <c r="W4" s="16" t="e">
        <f>T4/$R$4</f>
        <v>#DIV/0!</v>
      </c>
      <c r="X4" s="16" t="e">
        <f>U4/$Q$4</f>
        <v>#DIV/0!</v>
      </c>
      <c r="Y4" s="14"/>
      <c r="Z4" s="14"/>
      <c r="AA4" s="14"/>
      <c r="AB4" s="14"/>
      <c r="AC4" s="14"/>
      <c r="AD4" s="14"/>
    </row>
    <row r="5" spans="1:30">
      <c r="B5" s="14"/>
      <c r="C5" s="14"/>
      <c r="D5" s="14"/>
      <c r="E5" s="14"/>
      <c r="F5" s="14"/>
      <c r="G5" s="14"/>
      <c r="H5" s="14"/>
      <c r="I5" s="14"/>
      <c r="J5" s="14"/>
      <c r="K5" s="14"/>
      <c r="L5" s="15">
        <f ca="1">TODAY()</f>
        <v>46001</v>
      </c>
      <c r="M5" s="14">
        <v>21</v>
      </c>
      <c r="N5" s="15">
        <f ca="1">DATE(YEAR(L5),MONTH(L5)+M5,DAY(L5))</f>
        <v>46640</v>
      </c>
      <c r="O5" s="14"/>
      <c r="P5" s="14"/>
      <c r="Q5" s="14"/>
      <c r="R5" s="14"/>
      <c r="S5" s="14"/>
      <c r="T5" s="14"/>
      <c r="U5" s="14"/>
      <c r="V5" s="14"/>
      <c r="W5" s="14"/>
      <c r="X5" s="14"/>
      <c r="Y5" s="14"/>
      <c r="Z5" s="14"/>
      <c r="AA5" s="14"/>
      <c r="AB5" s="14"/>
      <c r="AC5" s="14"/>
      <c r="AD5" s="14"/>
    </row>
    <row r="6" spans="1:30">
      <c r="A6" t="s">
        <v>142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dc:creator>
  <cp:keywords/>
  <dc:description/>
  <cp:lastModifiedBy>Guest User</cp:lastModifiedBy>
  <cp:revision/>
  <dcterms:created xsi:type="dcterms:W3CDTF">2025-08-25T12:15:10Z</dcterms:created>
  <dcterms:modified xsi:type="dcterms:W3CDTF">2025-12-10T05:17:45Z</dcterms:modified>
  <cp:category/>
  <cp:contentStatus/>
</cp:coreProperties>
</file>