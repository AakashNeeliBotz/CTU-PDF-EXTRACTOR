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Admin\Documents\CTU-automated-pdf-extraction\"/>
    </mc:Choice>
  </mc:AlternateContent>
  <xr:revisionPtr revIDLastSave="0" documentId="13_ncr:1_{4D1E31CE-2C1A-474E-BE21-EC29FC9A1F73}" xr6:coauthVersionLast="47" xr6:coauthVersionMax="47" xr10:uidLastSave="{00000000-0000-0000-0000-000000000000}"/>
  <bookViews>
    <workbookView xWindow="-110" yWindow="-110" windowWidth="19420" windowHeight="10300" firstSheet="3" activeTab="5" xr2:uid="{00000000-000D-0000-FFFF-FFFF00000000}"/>
  </bookViews>
  <sheets>
    <sheet name="Data Sources" sheetId="1" r:id="rId1"/>
    <sheet name="Data to be captured" sheetId="2" r:id="rId2"/>
    <sheet name="RE Potential" sheetId="3" r:id="rId3"/>
    <sheet name="Margin" sheetId="4" r:id="rId4"/>
    <sheet name="Non RE proposed RE Integration" sheetId="5" r:id="rId5"/>
    <sheet name="Transformation Capacity" sheetId="6" r:id="rId6"/>
    <sheet name="Element Statu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7" l="1"/>
  <c r="N5" i="7" s="1"/>
  <c r="X4" i="7"/>
  <c r="W4" i="7"/>
  <c r="V4" i="7"/>
  <c r="N4" i="7"/>
</calcChain>
</file>

<file path=xl/sharedStrings.xml><?xml version="1.0" encoding="utf-8"?>
<sst xmlns="http://schemas.openxmlformats.org/spreadsheetml/2006/main" count="8948" uniqueCount="1527">
  <si>
    <t>SN</t>
  </si>
  <si>
    <t>Connectivity Application Status</t>
  </si>
  <si>
    <t>Frequency</t>
  </si>
  <si>
    <t>CTU | Central Transmission Utility of India Limited CMETS (Agenda and Minutes: Region wise) link:https://ctuil.in/ists-consultation-meeting</t>
  </si>
  <si>
    <t>Daily</t>
  </si>
  <si>
    <t>CTU | Central Transmission Utility of India Limited JCC (Region wise as per document release Agenda/Minutes) link  https://ctuil.in/ists-joint-coordination-meeting</t>
  </si>
  <si>
    <t>Status of effectiveness of connectivity granted to RE generators (Effective date of connectivity wise) link</t>
  </si>
  <si>
    <t>CTU | Central Transmission Utility of India Limited Re-allocation meetings (Agenda and Minutes: Region wise) link</t>
  </si>
  <si>
    <t>Weekly</t>
  </si>
  <si>
    <t>CTU | Central Transmission Utility of India Limited Bidding Calendar link</t>
  </si>
  <si>
    <t>Transmission Reports - Central Electricity Authority TBCB report from CEA transmission (monthly comparison) link</t>
  </si>
  <si>
    <t>CTUIL (OPEN ACCESS) (Compliance of Land and Financial Closure) link</t>
  </si>
  <si>
    <t>Monitoring of Connectivity (all 3 Annexures and monthly document release comparison) link</t>
  </si>
  <si>
    <t>Substation and Transmission Tracking</t>
  </si>
  <si>
    <t>(Status of allocation of bays at ISTS substations for connectivity grantees, Connectivity margins at existing ISTS (non RE) substations for future RE integration and Connectivity Margin in ISTS RE Substations available by Mar-2030) link</t>
  </si>
  <si>
    <t>10a</t>
  </si>
  <si>
    <t>Potential RE Zones Report link</t>
  </si>
  <si>
    <t>10b</t>
  </si>
  <si>
    <t>NCT (Agenda and Minutes Summary and Comparison of Scheme wise elements) link
Link: https://cea.nic.in/comm-trans/national-committee-on-transmission/?lang=en</t>
  </si>
  <si>
    <t>10c</t>
  </si>
  <si>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</si>
  <si>
    <t>10d</t>
  </si>
  <si>
    <t>CEA monthly transmission reports: (track status for tender elements timelines from 1) CEA Monthly report for actual physical progress of elements and 2) Actual COD from completion report)
CEA https://cea.nic.in/transmission-reports/?lang=en</t>
  </si>
  <si>
    <t>10e</t>
  </si>
  <si>
    <t>Map of the above Section 2 data to be created for review and edit by users</t>
  </si>
  <si>
    <t>Bulk Consumers and Green Hydrogen link</t>
  </si>
  <si>
    <t>CEA: transmission schemes, substations (transformation capacity) and transmission lines published each month on CEA monthly reports section under transmission.</t>
  </si>
  <si>
    <t>Global Wind Atlas (India Map Visualization)</t>
  </si>
  <si>
    <t>Open Infrastructure Map (India Map Visualization)</t>
  </si>
  <si>
    <t>Sr.no.</t>
  </si>
  <si>
    <t>Region</t>
  </si>
  <si>
    <t>State</t>
  </si>
  <si>
    <t>Substation</t>
  </si>
  <si>
    <t>Coordinates</t>
  </si>
  <si>
    <t>Name of Developers</t>
  </si>
  <si>
    <t>Group</t>
  </si>
  <si>
    <t>GNA/ST II Application ID</t>
  </si>
  <si>
    <t>LTA Application ID</t>
  </si>
  <si>
    <t>Application ID under Enhancement 5.2 or revision</t>
  </si>
  <si>
    <t>CMETS GNA Approved</t>
  </si>
  <si>
    <t>CMETS LTA Approved</t>
  </si>
  <si>
    <t>CMETS GNA Meeting Date</t>
  </si>
  <si>
    <t>CMETS LTA Meeting Date</t>
  </si>
  <si>
    <t>Type</t>
  </si>
  <si>
    <t>Application Quantum (MW)(ST II)</t>
  </si>
  <si>
    <t>Granted  Quantum GNA/LTA(MW)</t>
  </si>
  <si>
    <t>Installed/Break-up Capacity (MW)</t>
  </si>
  <si>
    <t xml:space="preserve">Battery </t>
  </si>
  <si>
    <t>PSP</t>
  </si>
  <si>
    <t>Commissioned</t>
  </si>
  <si>
    <t>Application/Submission Date</t>
  </si>
  <si>
    <t>Mode(Criteria for applying)</t>
  </si>
  <si>
    <t>Applied Start of Connectivity sought by developer date( start date of connectivity as per the application)</t>
  </si>
  <si>
    <t>GNA Operationalization Date</t>
  </si>
  <si>
    <t>GNA Operationalization (Yes/No)</t>
  </si>
  <si>
    <t>Date from which additional capacity is to be added</t>
  </si>
  <si>
    <t>Nature of Applicant</t>
  </si>
  <si>
    <t>Status of application(Withdrawn / granted. Revoked.)</t>
  </si>
  <si>
    <t>Voltage level</t>
  </si>
  <si>
    <t>Bay No</t>
  </si>
  <si>
    <t>CTS Element Unique Code</t>
  </si>
  <si>
    <t>ATS Element Unique Code</t>
  </si>
  <si>
    <t>DTL Element Code Unique</t>
  </si>
  <si>
    <t>Date of Last Element Unique Code</t>
  </si>
  <si>
    <t>In-principle Grant</t>
  </si>
  <si>
    <t>Final Grant</t>
  </si>
  <si>
    <t>In case of Land BG Conversion Date</t>
  </si>
  <si>
    <t>Remarks</t>
  </si>
  <si>
    <t>NR</t>
  </si>
  <si>
    <t>Rajasthan</t>
  </si>
  <si>
    <t>Sirohi PS</t>
  </si>
  <si>
    <t>ACME 
Solar 
Holdings 
Limited 
(erstwhile  ACME 
Solar 
Holdings</t>
  </si>
  <si>
    <t>Solar</t>
  </si>
  <si>
    <t>Wind</t>
  </si>
  <si>
    <t>Hybrid</t>
  </si>
  <si>
    <t>MWh</t>
  </si>
  <si>
    <t>Injection (MW)</t>
  </si>
  <si>
    <t>Drawl (MW)</t>
  </si>
  <si>
    <t>TGNA</t>
  </si>
  <si>
    <t>GNA</t>
  </si>
  <si>
    <t>07.05.2024</t>
  </si>
  <si>
    <t>Land BG 
Route</t>
  </si>
  <si>
    <t>31.03.2027</t>
  </si>
  <si>
    <t>Generator 
(Solar)</t>
  </si>
  <si>
    <t>Withdrawn</t>
  </si>
  <si>
    <t>SAEL Industries 
Limited</t>
  </si>
  <si>
    <t>10.05.2024</t>
  </si>
  <si>
    <t>30.05.2026</t>
  </si>
  <si>
    <t>Amplus Centaur 
Solar Private 
Limited</t>
  </si>
  <si>
    <t>20.05.2024</t>
  </si>
  <si>
    <t>30.04.2027</t>
  </si>
  <si>
    <t>Granted</t>
  </si>
  <si>
    <t>Nagaur 
(MERTA-II) PS</t>
  </si>
  <si>
    <t>ACME Solar 
Holdings Limited 
(erstwhile ACME 
Solar Holdings 
Private Limited)</t>
  </si>
  <si>
    <t>31.05.2024</t>
  </si>
  <si>
    <t>Rishabhdeo PS</t>
  </si>
  <si>
    <t>Serentica 
Renewables India 
Private Limited</t>
  </si>
  <si>
    <t>30.06.2026</t>
  </si>
  <si>
    <t>Data Scoure (Sl. No.(s) 1,2,3,4,7,8,9,11)</t>
  </si>
  <si>
    <t>Nagaur 
Complex 
(Merta-II) PS</t>
  </si>
  <si>
    <t>Enren-III Energy 
Private Limited</t>
  </si>
  <si>
    <t>31.01.2027</t>
  </si>
  <si>
    <t>Sindhari Solar 
Power Private 
Limited</t>
  </si>
  <si>
    <t>30.06.2027</t>
  </si>
  <si>
    <t>Renewable 
Power Park 
developer 
(Solar)</t>
  </si>
  <si>
    <t>Nagaur Complex 
(Merta-II PS)</t>
  </si>
  <si>
    <t>Prespa Solar 
Private 
Limited</t>
  </si>
  <si>
    <t>04.06.2024</t>
  </si>
  <si>
    <t>31.12.2026</t>
  </si>
  <si>
    <t>bikaner-V ps</t>
  </si>
  <si>
    <t>Sunsure 
Solarpark RJ 
One Private 
Limited</t>
  </si>
  <si>
    <t>05.07.2024</t>
  </si>
  <si>
    <t>31.03.2029</t>
  </si>
  <si>
    <t>Ramgarh-II PS</t>
  </si>
  <si>
    <t>Sunbreeze 
Renewables 
Seven Private 
Limited</t>
  </si>
  <si>
    <t>Land Route</t>
  </si>
  <si>
    <t>31.03.2026</t>
  </si>
  <si>
    <t>Renewable Power 
Park developer 
(Solar)</t>
  </si>
  <si>
    <t>Bikaner-IV PS</t>
  </si>
  <si>
    <t>Juniper Green 
Energy 
Private 
Limited</t>
  </si>
  <si>
    <t>16.07.2024</t>
  </si>
  <si>
    <t>30.06.2029</t>
  </si>
  <si>
    <t>Generator (Solar)</t>
  </si>
  <si>
    <t>Barmer II PS</t>
  </si>
  <si>
    <t>Foxtrot Solar 
Renewables Energy 
Private Limited</t>
  </si>
  <si>
    <t>17.07.2024</t>
  </si>
  <si>
    <t>31.12.2030</t>
  </si>
  <si>
    <t>Fatehgarh-II PS</t>
  </si>
  <si>
    <t>ACME Cleantech 
Solutions Private 
Limited</t>
  </si>
  <si>
    <t>31.10.2026</t>
  </si>
  <si>
    <t>Barmer PS</t>
  </si>
  <si>
    <t>Renew Solar Power 
Private Limited</t>
  </si>
  <si>
    <t>19.07.2024</t>
  </si>
  <si>
    <t>REMCL 
LOA</t>
  </si>
  <si>
    <t>30.09.2026</t>
  </si>
  <si>
    <t>Bhadla - II PS</t>
  </si>
  <si>
    <t>Adani Renewable 
Energy Holding 
Eighteen Limited</t>
  </si>
  <si>
    <t>(Reduced to 50 MW)</t>
  </si>
  <si>
    <t>24.07.2024</t>
  </si>
  <si>
    <t>15.06.2025</t>
  </si>
  <si>
    <t>Pali PS</t>
  </si>
  <si>
    <t>TEQ Green 
Power XV 
Private Limited</t>
  </si>
  <si>
    <t>26.07.2024</t>
  </si>
  <si>
    <t>15.06.2027</t>
  </si>
  <si>
    <t>Jalore PS</t>
  </si>
  <si>
    <t>Foxtrot Solar 
Renewables 
Energy Private 
Limited</t>
  </si>
  <si>
    <t>31.12.2031</t>
  </si>
  <si>
    <t>bhadla-IV ps</t>
  </si>
  <si>
    <t>Avaada 
Energy Private 
Limited</t>
  </si>
  <si>
    <t>NHPC LOA</t>
  </si>
  <si>
    <t>30.04.2026</t>
  </si>
  <si>
    <t>Diyos Three 
Renewables Private 
Limited</t>
  </si>
  <si>
    <t>31.07.2024</t>
  </si>
  <si>
    <t>01.04.2031</t>
  </si>
  <si>
    <t>Renewable 
Power Park 
developer (Solar)</t>
  </si>
  <si>
    <t>Asian 
Fine 
Cements 
Private Limited</t>
  </si>
  <si>
    <t>01.09.2024</t>
  </si>
  <si>
    <t>Drawee entity 
connected to Intra State 
Transmission System</t>
  </si>
  <si>
    <t>Ambuja 
Cements 
Limited</t>
  </si>
  <si>
    <t>ACC Limited</t>
  </si>
  <si>
    <t>16.11.2026</t>
  </si>
  <si>
    <t>Greenko  UP01 
IREP 
Private Limited</t>
  </si>
  <si>
    <t>31.03.2028</t>
  </si>
  <si>
    <t>Avaada  Waterbattery 
Private Limited</t>
  </si>
  <si>
    <t>Barmer-I</t>
  </si>
  <si>
    <t>ENREN-I ENERGY PRIVATE LIMITED</t>
  </si>
  <si>
    <t>ANBOTO SOLAR PRIVATE LIMITED</t>
  </si>
  <si>
    <t>AUXO SUNLIGHT PRIVATE LIMITED</t>
  </si>
  <si>
    <t>TEQ GREEN POWER XV PRIVATE LIMITED</t>
  </si>
  <si>
    <t>ACME CLEANTECH SOLUTIONS PRIVATE LIMITED</t>
  </si>
  <si>
    <t>EDEN RENEWABLE CADET PRIVATE LIMITED</t>
  </si>
  <si>
    <t>RENEW SUN POWER PRIVATE LIMITED</t>
  </si>
  <si>
    <t>ENFINITY GLOBAL SURYA KIRAN PRIVATE LIMITED</t>
  </si>
  <si>
    <t>ANDHRA PRADESH RESCO ROOFTOP SOLAR 
PRIVATE LIMITED</t>
  </si>
  <si>
    <t>HINDUJA RENEWABLES ENERGY PRIVATE LIMITED</t>
  </si>
  <si>
    <t>JUNIPER GREEN ENERGY PRIVATE LIMITED</t>
  </si>
  <si>
    <t>GREEN INFRA RENEWABLE PROJECTS LIMITED</t>
  </si>
  <si>
    <t>Barmer-II</t>
  </si>
  <si>
    <t>AVAADA ENERGY PRIVATE LIMITED</t>
  </si>
  <si>
    <t>SPRNG URJA PRIVATE LIMITED</t>
  </si>
  <si>
    <t>ADANI RENEWABLE ENERGY HOLDING FOUR
LIMITED</t>
  </si>
  <si>
    <t>NTPC RENEWABLE ENERGY LIMITED</t>
  </si>
  <si>
    <t>ADITYA BIRLA RENEWABLES LIMITED</t>
  </si>
  <si>
    <t>Hybrid 
(RHGS)</t>
  </si>
  <si>
    <t>VISMAYA FIVE RENEWABLES PRIVATE LIMITED</t>
  </si>
  <si>
    <t>GREEN INFRA CLEAN SOLAR FARMS LIMITED</t>
  </si>
  <si>
    <t>SPRNG RENEWABLE RESOURCES PRIVATE LIMITED</t>
  </si>
  <si>
    <t>AMARESHA RENAWABLES INDIA PROJECT PRIVATE 
LIMITED</t>
  </si>
  <si>
    <t>RENEW SOLAR POWER PRIVATE LIMITED</t>
  </si>
  <si>
    <t>Barmer-III</t>
  </si>
  <si>
    <t>GREEN INFRA RENEWABLE ENERGY FARMS PRIVATE 
LIMITED</t>
  </si>
  <si>
    <t>Bhadla-II</t>
  </si>
  <si>
    <t>ADANI RENEWABLE ENERGY HOLDING EIGHTEEN 
LIMITED</t>
  </si>
  <si>
    <t>GREEN INFRA CLEAN WIND LIMITED</t>
  </si>
  <si>
    <t>Bhadla-II PS</t>
  </si>
  <si>
    <t>NTPC Ltd.</t>
  </si>
  <si>
    <t>St-II:1200002501 (300 MW) (TSSPDCL</t>
  </si>
  <si>
    <t>St-II:1200002483 (300 MW) (TSSPDCL</t>
  </si>
  <si>
    <t>St-II:1200002483 (300 MW) (TSNPDCL</t>
  </si>
  <si>
    <t>St-II:1200002340 (250 MW) (TSNPDCL</t>
  </si>
  <si>
    <t>St-II:1200002501 (300 MW) (TSNPDCL</t>
  </si>
  <si>
    <t>ABC Solar (India) Private Limited</t>
  </si>
  <si>
    <t>St-II:1200002359 (300 MW</t>
  </si>
  <si>
    <t>ACME Solar Holdings Private Limited</t>
  </si>
  <si>
    <t>St-II:1200002471 (300 MW</t>
  </si>
  <si>
    <t>Azure Power India Private Limited</t>
  </si>
  <si>
    <t>St-II: 1200002401 (500 MW</t>
  </si>
  <si>
    <t>St-II:1200002403(500 MW</t>
  </si>
  <si>
    <t>AMP Energy Green Private Limited</t>
  </si>
  <si>
    <t>St-II:1200002676 (100 MW</t>
  </si>
  <si>
    <t>1200002987 (Enh.)</t>
  </si>
  <si>
    <t>Eden Renewable Alma Private Limited</t>
  </si>
  <si>
    <t>Solarpack Corporacion Technologica S.A.</t>
  </si>
  <si>
    <t>AMP Energy Green Pvt. Ltd.</t>
  </si>
  <si>
    <t>PROJECT NINE RENEWABLE POWER PRIVATE
LIMITED</t>
  </si>
  <si>
    <t>Bhadla-III</t>
  </si>
  <si>
    <t>JUNIPER GREEN INDIA SIX PRIVATE LIMITED</t>
  </si>
  <si>
    <t>FRUGAL ENERGY PRIVATE LIMITED</t>
  </si>
  <si>
    <t>SERENTICA RENEWABLES INDIA PRIVATE LIMITED</t>
  </si>
  <si>
    <t>SOLARCRAFT POWER INDIA 4 PRIVATE LIMITED</t>
  </si>
  <si>
    <t>GREEN INFRA CLEAN ENERGY GENERATION
LIMITED</t>
  </si>
  <si>
    <t>RENEW SOLAR (SHAKTI SIX) PRIVATE LIMITED</t>
  </si>
  <si>
    <t>MALUR RENEWABLES PRIVATE LIMITED</t>
  </si>
  <si>
    <t>PRERAK SOLAR URJA PRIVATE LIMITED</t>
  </si>
  <si>
    <t>Bhadla-III PS</t>
  </si>
  <si>
    <t>Juniper Green Beta Pvt. Ltd.</t>
  </si>
  <si>
    <t>412100013, 0312100013 
(St-II), 1670400777119 
(St-II)</t>
  </si>
  <si>
    <t>Tepsol Sun Sparkle Pvt. Ltd.</t>
  </si>
  <si>
    <t>SW9990897533- 
M029_D001_A007- 
1672319027575, 
0212100030 (St-II)</t>
  </si>
  <si>
    <t>Juniper Green Beta Private Limited</t>
  </si>
  <si>
    <t>412100027 
(SW5102826596-
M029_D001_A003-
1670400777119 (10MW 
out of 70MW) + 
0312100011 (40MW))</t>
  </si>
  <si>
    <t>ReNew Solar (Shakti Six) Private Limited</t>
  </si>
  <si>
    <t>312100004 (Enh.)</t>
  </si>
  <si>
    <t>Abu Renewables India Private Limited</t>
  </si>
  <si>
    <t>Seven Renewable Power Pvt. Ltd.</t>
  </si>
  <si>
    <t>Frugal Energy Pvt. Ltd.</t>
  </si>
  <si>
    <t>Bhadla Three SKP Green Ventures Pvt. Ltd.</t>
  </si>
  <si>
    <t>Bhadla-IV</t>
  </si>
  <si>
    <t>KANTIDA RENEWABLES INDIA PROJECT PRIVATE
LIMITED</t>
  </si>
  <si>
    <t>DEMETER SUN POWER PRIVATE LIMITED</t>
  </si>
  <si>
    <t>VISMAYA FOUR RENEWABLES PRIVATE LIMITED</t>
  </si>
  <si>
    <t>Bikaner</t>
  </si>
  <si>
    <t>AK RENEWABLE INFRA PRIVATE LIMITED</t>
  </si>
  <si>
    <t>Bikaner PS</t>
  </si>
  <si>
    <t>Shikhar Surya (One) Private Limited</t>
  </si>
  <si>
    <t>ReNew Surya Ravi Pvt. Ltd.</t>
  </si>
  <si>
    <t>Bikaner-II PS</t>
  </si>
  <si>
    <t>St-II:1200003683 (300 MW</t>
  </si>
  <si>
    <t>SJVN Limited</t>
  </si>
  <si>
    <t>St- II:1200003559(1000MW</t>
  </si>
  <si>
    <t>Onevolt Energy Private Limited</t>
  </si>
  <si>
    <t>St-II:1200003626 (100 MW</t>
  </si>
  <si>
    <t>NHPC Ltd.</t>
  </si>
  <si>
    <t>St-II:1200003915 (300 MW</t>
  </si>
  <si>
    <t>Juniper Green Cosmic Private Limited</t>
  </si>
  <si>
    <t>St-II:1200003740 (100 MW</t>
  </si>
  <si>
    <t>Grian Energy Private Limited</t>
  </si>
  <si>
    <t>St-II: 1200003625 (100 
MW) LTA: 
SW…1544323119(62 
MW)</t>
  </si>
  <si>
    <t>Renew Dinkar Urja Pvt. Ltd.</t>
  </si>
  <si>
    <t>St-II:1200003380 (200 MW</t>
  </si>
  <si>
    <t>Amplus Ages Private Limited</t>
  </si>
  <si>
    <t>SW9999482858- 
M029_D001_A007- 
1671556542236</t>
  </si>
  <si>
    <t>Prerak Greentech Private Limited</t>
  </si>
  <si>
    <t>Juna Renewable Energy Pvt Ltd</t>
  </si>
  <si>
    <t>Khidrat Renewable Energy Private Limited</t>
  </si>
  <si>
    <t>Litsolaire Energy Private Limited</t>
  </si>
  <si>
    <t>ALF Solar Amarsar Private Limited</t>
  </si>
  <si>
    <t>1200003831 (Enh.)</t>
  </si>
  <si>
    <t>Serentica Renewables India Pvt. Ltd. (erstwhile 
Sterlite Power Technologies Private Limited)</t>
  </si>
  <si>
    <t>Juniper Nirjara Energy Private Limited</t>
  </si>
  <si>
    <t>312100008 (Enh.)</t>
  </si>
  <si>
    <t>Sourya Manthan Renewable Energy Private Limited</t>
  </si>
  <si>
    <t>Bikaner-II PS   212100007</t>
  </si>
  <si>
    <t>Soltown Infra Private Limited
(Park)</t>
  </si>
  <si>
    <t>Bikaner-II PS   212100008</t>
  </si>
  <si>
    <t>Bikaner-II PS   1200003889</t>
  </si>
  <si>
    <t>(Enh.)</t>
  </si>
  <si>
    <t>Bikaner-III</t>
  </si>
  <si>
    <t>JUNIPER GREEN COSMIC PRIVATE LIMITED</t>
  </si>
  <si>
    <t>SUNBREEZE RENEWABLES NINE PRIVATE LIMITED</t>
  </si>
  <si>
    <t>SUNSURE SOLARPARK RJ ONE PRIVATE LIMITED</t>
  </si>
  <si>
    <t>MRS BUILDVISION PRIVATE LIMITED</t>
  </si>
  <si>
    <t>DESHRAJ SOLAR ENERGY PRIVATE LIMITED</t>
  </si>
  <si>
    <t>FIRST ENERGY PRIVATE LIMITED</t>
  </si>
  <si>
    <t>SAIMAA SOLAR PRIVATE LIMITED</t>
  </si>
  <si>
    <t>Bikaner-III PS</t>
  </si>
  <si>
    <t>Proteus Energy Private Limited (Park)</t>
  </si>
  <si>
    <t>TP Saurya Limited</t>
  </si>
  <si>
    <t>Bikaner-IV</t>
  </si>
  <si>
    <t>SJVN GREEN ENERGY LIMITED</t>
  </si>
  <si>
    <t>FURIES SOLREN PRIVATE LIMITED</t>
  </si>
  <si>
    <t>AVAADA RJBIKANER PRIVATE LIMITED</t>
  </si>
  <si>
    <t>SOLARCRAFT POWER INDIA 17 PRIVATE LIMITED</t>
  </si>
  <si>
    <t>SHUDH SOLAR POWER PRIVATE LIMITED</t>
  </si>
  <si>
    <t>HAZEL HYBREN PRIVATE LIMITED</t>
  </si>
  <si>
    <t>AM GREEN ENERGY PRIVATE LIMITED</t>
  </si>
  <si>
    <t>IRAAX INTERNATIONAL (OPC) PRIVATE LIMITED</t>
  </si>
  <si>
    <t>CLEAN MAX GAMMA PRIVATE LIMITED</t>
  </si>
  <si>
    <t>SUNSURE SOLARPARK FOURTEEN PRIVATE
LIMITED</t>
  </si>
  <si>
    <t>Bikaner-V</t>
  </si>
  <si>
    <t>SAURYA URJA COMPANY OF RAJASTHAN LIMITED</t>
  </si>
  <si>
    <t>SA RENEWABLE INFRA PRIVATE LIMITED</t>
  </si>
  <si>
    <t>VENA ENERGY VINDHYA WIND POWER PRIVATE
LIMITED</t>
  </si>
  <si>
    <t>SOLARCRAFT POWER INDIA 8 PRIVATE LIMITED</t>
  </si>
  <si>
    <t>PURVAH GREEN POWER PRIVATE LIMITED</t>
  </si>
  <si>
    <t>AVAADA SURYAENERGY PRIVATE LIMITED</t>
  </si>
  <si>
    <t>Fatehgarh-II</t>
  </si>
  <si>
    <t>Fatehgarh-II 
PS</t>
  </si>
  <si>
    <t>St-II:1200002339 (150 MW)(TSNPDCL</t>
  </si>
  <si>
    <t>St-II:1200002497(90 MW) (TSSPDCL</t>
  </si>
  <si>
    <t>St-II:1200002497 (90 MW) (TSNPDCL</t>
  </si>
  <si>
    <t>Adani Renewable Energy Holding Four Limited</t>
  </si>
  <si>
    <t>St-II:1200002430 (500 MW</t>
  </si>
  <si>
    <t>Eden Renewable Bercy Private Limited</t>
  </si>
  <si>
    <t>St-II:1200002688 (300 MW</t>
  </si>
  <si>
    <t>Fatehgarh-III</t>
  </si>
  <si>
    <t>JSW Renew Energy Five Limited</t>
  </si>
  <si>
    <t>Storage</t>
  </si>
  <si>
    <t>Fatehgarh-III 
(Sec-II)</t>
  </si>
  <si>
    <t>Khaba Renewable Energy Private Limited</t>
  </si>
  <si>
    <t>ReNew Surya Jyoti Private Limited</t>
  </si>
  <si>
    <t>RENEW SURYA PRATAP PRIVATE LIMITED</t>
  </si>
  <si>
    <t>ReNew Solar (Shakti Three) Private Limited</t>
  </si>
  <si>
    <t>ReNew Solar (Shakti Five) Private Limited</t>
  </si>
  <si>
    <t>ReNew Samir Shakti Private Limited</t>
  </si>
  <si>
    <t>1200003514 (Enh. St-II)</t>
  </si>
  <si>
    <t>Energizent Power Private Limited</t>
  </si>
  <si>
    <t>XL Xergi Power Private Limited</t>
  </si>
  <si>
    <t>412100020 (St-II: 
1200002847)</t>
  </si>
  <si>
    <t>SPRNG POWER PRIVATE LIMITED</t>
  </si>
  <si>
    <t>SPRNG ENERGY PRIVATE LIMITED</t>
  </si>
  <si>
    <t>Serentica Renewable India Pvt. Ltd.</t>
  </si>
  <si>
    <t>Fatehgarh-III 
PS</t>
  </si>
  <si>
    <t>Renew Surya Roshni Private Limited</t>
  </si>
  <si>
    <t>St-II:1200002628(400 MW</t>
  </si>
  <si>
    <t>ABC Renewable Energy Pvt. Ltd.</t>
  </si>
  <si>
    <t>St-II:1200002699 (400 MW</t>
  </si>
  <si>
    <t>ReNew Dinkar Jyoti Private Limited</t>
  </si>
  <si>
    <t>St-II:1200003813 (100 MW</t>
  </si>
  <si>
    <t>IB Vogt Solar Seven Private Limited</t>
  </si>
  <si>
    <t>St-II:1200002700 (300 MW</t>
  </si>
  <si>
    <t>XL Xergi Power Pvt. Ltd.</t>
  </si>
  <si>
    <t>St-II:1200002847 (400 MW</t>
  </si>
  <si>
    <t>St-II:1200003532 (100 MW</t>
  </si>
  <si>
    <t>Fatehgarh-IV 
(Sec-I)</t>
  </si>
  <si>
    <t>SPRNG AKSHAYA URJA PRIVATE LIMITED</t>
  </si>
  <si>
    <t>BN HYBRID POWER-1 PRIVATE LIMITED</t>
  </si>
  <si>
    <t>JUNIPER GREEN STELLAR PRIVATE LIMITED</t>
  </si>
  <si>
    <t>Fatehgarh-IV 
(Sec-II)</t>
  </si>
  <si>
    <t>BN DISPATCHABLE-1 PRIVATE LIMITED</t>
  </si>
  <si>
    <t>HELIA ENERGY PARK PRIVATE LIMITED</t>
  </si>
  <si>
    <t>RADIANT STAR SOLAR PARK PRIVATE LIMITED</t>
  </si>
  <si>
    <t>ABREL (RJ) PROJECTS LIMITED</t>
  </si>
  <si>
    <t>ADITYA BIRLA RENEWABLES SUBSIDIARY LIMITED</t>
  </si>
  <si>
    <t>GAMMA RENEWABLES INDIA PROJECT ONE
PRIVATE LIMITED</t>
  </si>
  <si>
    <t>GREEN INFRA CLEAN WIND TECHNOLOGY LIMITED</t>
  </si>
  <si>
    <t>UTKRRISHT SOLAR ENERGY PRIVATE LIMITED</t>
  </si>
  <si>
    <t>Fatehgarh-IV 
PS</t>
  </si>
  <si>
    <t>St-II:1200003022 (130 MW</t>
  </si>
  <si>
    <t>ABC Renewable Energy Private Limited</t>
  </si>
  <si>
    <t>St-II:1200003002 (380 MW</t>
  </si>
  <si>
    <t>Juniper Green Stellar Private Limited</t>
  </si>
  <si>
    <t>412100009 (St-II: 
1200003827, 
1200003910, 
1200003958, 
0312100010 &amp; 
0312100012)</t>
  </si>
  <si>
    <t>412100019 (St-II: 
0312100005)</t>
  </si>
  <si>
    <t>ABC RJ Land 01 Private Limited</t>
  </si>
  <si>
    <t>412100010 (St-II: 
1200003827, 
1200003910, 
1200003958, 
0312100010 &amp; 
0312100012)</t>
  </si>
  <si>
    <t>Cannice Renewables Energy Private Limited</t>
  </si>
  <si>
    <t>Fatehgarh-IV 
PS (Sec-I)</t>
  </si>
  <si>
    <t>Luceo Solar Pvt. Ltd.</t>
  </si>
  <si>
    <t>0312100018 
(Enhancement)</t>
  </si>
  <si>
    <t>Fatehgarh-IV 
PS (Sec-II)</t>
  </si>
  <si>
    <t>Helia Energy Park Private Limited</t>
  </si>
  <si>
    <t>Radiant Star Solar Park Private Limited</t>
  </si>
  <si>
    <t>EG Saur Urja Pvt. Ltd.
(earlier Tepsol Saur Urja Private Limited)</t>
  </si>
  <si>
    <t>SW…1671600589106</t>
  </si>
  <si>
    <t>Cannice Renewable Energy Private Limited</t>
  </si>
  <si>
    <t>SPRNG PAVANA URJA PRIVATE LIMITED</t>
  </si>
  <si>
    <t>Sprng Pavana Urja Private Limited</t>
  </si>
  <si>
    <t>Jalore</t>
  </si>
  <si>
    <t>SPRNG VAAYU URJA PRIVATE LIMITED</t>
  </si>
  <si>
    <t>Rajasthan Merta-II</t>
  </si>
  <si>
    <t>BANYAN ENERGY PRIVATE LIMITED</t>
  </si>
  <si>
    <t>ACME SOLAR HOLDINGS PRIVATE LIMITED</t>
  </si>
  <si>
    <t>HEXA CLIMATE SOLUTIONS PRIVATE LIMITED</t>
  </si>
  <si>
    <t>GREEN INFRA WIND ENERGY PRIVATE LIMITED</t>
  </si>
  <si>
    <t>Ramgarh</t>
  </si>
  <si>
    <t>MIGOS HYBREN PRIVATE LIMITED</t>
  </si>
  <si>
    <t>TATA POWER RENEWABLE ENERGY LIMITED</t>
  </si>
  <si>
    <t>Ramgarh PS</t>
  </si>
  <si>
    <t>Adani Renewable Energy Holding Four Ltd.</t>
  </si>
  <si>
    <t>St-II: 1200002432(500 MW</t>
  </si>
  <si>
    <t>Adani Solar Energy AP Three Ltd.</t>
  </si>
  <si>
    <t>Ramgarh-II</t>
  </si>
  <si>
    <t>ADANI RENEWABLE ENERGY PARK RAJASTHAN
LIMITED</t>
  </si>
  <si>
    <t>JSW NEO ENERGY LIMITED</t>
  </si>
  <si>
    <t>RJS RENEWABLES PRIVATE LIMITED</t>
  </si>
  <si>
    <t>SHN GREEN POWER PRIVATE LIMITED</t>
  </si>
  <si>
    <t>Sanchore</t>
  </si>
  <si>
    <t>HR SARASWATI ENERGY PRIVATE LIMITED</t>
  </si>
  <si>
    <t>Sirohi</t>
  </si>
  <si>
    <t>ILLUMINATE HYBREN PRIVATE LIMITED</t>
  </si>
  <si>
    <t>VAYUNA RENEWABLES INDIA PROJECT PRIVATE 
LIMITED</t>
  </si>
  <si>
    <t>CESC LTD</t>
  </si>
  <si>
    <t>IZHMA SOLAR PRIVATE LIMITED</t>
  </si>
  <si>
    <t>Rajasthan  Barmer-III</t>
  </si>
  <si>
    <t>FOXTROT SOLAR RENEWABLES ENERGY PRIVATE 
LIMITED</t>
  </si>
  <si>
    <t>Rajasthan  Merta-III</t>
  </si>
  <si>
    <t>ENREN-III ENERGY PRIVATE LIMITED</t>
  </si>
  <si>
    <t>Rajasthan  Pali</t>
  </si>
  <si>
    <t>DIYOS THREE RENEWABLES PRIVATE LIMITED</t>
  </si>
  <si>
    <t>UP</t>
  </si>
  <si>
    <t>Orai</t>
  </si>
  <si>
    <t>BUNDELKHAND SAUR URJA LIMITED</t>
  </si>
  <si>
    <t>Robertsganj</t>
  </si>
  <si>
    <t>GREENKO UP01 IREP PRIVATE LIMITED</t>
  </si>
  <si>
    <t>Pump 
Storage</t>
  </si>
  <si>
    <t>AVAADA WATERBATTERY PRIVATE LIMITED</t>
  </si>
  <si>
    <t>SR</t>
  </si>
  <si>
    <t>Andhra 
Pradesh</t>
  </si>
  <si>
    <t>Anantapur PS 2200000162</t>
  </si>
  <si>
    <t>Anantapur PS 2200000372</t>
  </si>
  <si>
    <t>RENEW VIKRAM SHAKTI PRIVATE LIMITED</t>
  </si>
  <si>
    <t>160 (Solar:40 
MW, Wind: 120 
MW)</t>
  </si>
  <si>
    <t>Anantapur PS 2200000069</t>
  </si>
  <si>
    <t>Anantapur PS 2200000273</t>
  </si>
  <si>
    <t>ABC CT RE PARK (03) PRIVATE LIMITED</t>
  </si>
  <si>
    <t>Anantapur PS 2200000318</t>
  </si>
  <si>
    <t>AYANA RENEWABLE POWER FOUR PRIVATE
LIMITED</t>
  </si>
  <si>
    <t>Anantapur PS 2200000032</t>
  </si>
  <si>
    <t>Solar-750MW, 
Wind:960MW, 
BESS-288)</t>
  </si>
  <si>
    <t>Anantapur PS 2200000271</t>
  </si>
  <si>
    <t>ABC CLEANTECH PRIVATE LIMITED</t>
  </si>
  <si>
    <t>Anantapur PS 2200000274</t>
  </si>
  <si>
    <t>ABC CT RE PARK (02) PRIVATE LIMITED</t>
  </si>
  <si>
    <t>Anantapur PS 2200000276</t>
  </si>
  <si>
    <t>ABC CT RE PARK (01) PRIVATE LIMITED</t>
  </si>
  <si>
    <t>Anantapur PS 2200000713</t>
  </si>
  <si>
    <t>AMPLUS CENEDUS SOLAR PRIVATE LIMITED</t>
  </si>
  <si>
    <t>Anantapur PS 2200000583</t>
  </si>
  <si>
    <t>Anantapur-II 
PS</t>
  </si>
  <si>
    <t>ORION HYBREN PRIVATE LIMITED</t>
  </si>
  <si>
    <t>300 MW (100 
MW Wind, 200 
MW Solar)</t>
  </si>
  <si>
    <t>Kurnool 
(new)</t>
  </si>
  <si>
    <t>989 (Solar-
675MW, 
Wind:314MW)</t>
  </si>
  <si>
    <t>Kurnool-III PS</t>
  </si>
  <si>
    <t>Solar-400MW, 
BESS:380 MWh)</t>
  </si>
  <si>
    <t>AMP ENERGY GREEN PRIVATE LIMITED</t>
  </si>
  <si>
    <t>Total: 187 MW
Solar: 137.5 
MW
Wind: 49.5 MW</t>
  </si>
  <si>
    <t>AMP ENERGY C&amp;I TWELVE PRIVATE LIMITED</t>
  </si>
  <si>
    <t>ADANI RENEWABLE ENERGY FORTY TWO LIMITED</t>
  </si>
  <si>
    <t>HERO SOLAR ENERGY PRIVATE LIMITED</t>
  </si>
  <si>
    <t>Solar: 150MW
Wind: 150MW
BESS: 30MWh</t>
  </si>
  <si>
    <t>Solar: 150 MW
Wind:159 MW</t>
  </si>
  <si>
    <t>AMPLUS EVEREST SOLAR PRIVATE LIMITED</t>
  </si>
  <si>
    <t>228(Solar:105M
W; Wind: 126 
MW)</t>
  </si>
  <si>
    <t>AMPLUS IIFA SOLAR PRIVATE LIMITED</t>
  </si>
  <si>
    <t>INDOSOL SOLAR PRIVATE LIMITED</t>
  </si>
  <si>
    <t>Solar: 85 MW
Wind:118.8 MW</t>
  </si>
  <si>
    <t>ADANI RENEWABLE ENERGY FIFTY ONE LIMITED</t>
  </si>
  <si>
    <t>Kurnool-IV PS 2200000844</t>
  </si>
  <si>
    <t>SAEL INDUSTRIES LIMITED</t>
  </si>
  <si>
    <t>Kurnool-IV PS 2200001099</t>
  </si>
  <si>
    <t>PRATAPATI ENERGY (SEVEN) PRIVATE LIMITED</t>
  </si>
  <si>
    <t>354 (Solar-255 
MW, Wind-
99MW)</t>
  </si>
  <si>
    <t>Nellore PS</t>
  </si>
  <si>
    <t>JINDAL POWER LIMITED</t>
  </si>
  <si>
    <t>NP Kunta PS</t>
  </si>
  <si>
    <t>NHPC LIMITED</t>
  </si>
  <si>
    <t>AP</t>
  </si>
  <si>
    <t>Greenko AP01 IREP Pvt. Ltd</t>
  </si>
  <si>
    <t>LTA app no.1200003664</t>
  </si>
  <si>
    <t>LTA app no. 450200009</t>
  </si>
  <si>
    <t>Greenko AP01 IREP Pvt. Ltd.</t>
  </si>
  <si>
    <t>Ramagundam 1200002271</t>
  </si>
  <si>
    <t>NTPC Ltd. (Ramagundam FSP)</t>
  </si>
  <si>
    <t>Simhadri</t>
  </si>
  <si>
    <t>NTPC Ltd. (Simhadri FSP)</t>
  </si>
  <si>
    <t>Karnataka Bidar PS</t>
  </si>
  <si>
    <t>WELSPUN NARMADA PRIVATE LIMITED</t>
  </si>
  <si>
    <t>250 (150 MW 
Wind &amp; 100 
MW Solar)</t>
  </si>
  <si>
    <t>Solar: 188MW
Wind: 201 MW
BESS: 30MWh</t>
  </si>
  <si>
    <t>Total: 312 MW
Solar: 132 MW
Wind:180 MW</t>
  </si>
  <si>
    <t>PULSE HYBREN PRIVATE LIMITED</t>
  </si>
  <si>
    <t>QUEST HYBREN PRIVATE LIMITED</t>
  </si>
  <si>
    <t>AMPIN ENERGY UTILITY PRIVATE LIMITED</t>
  </si>
  <si>
    <t>185.4 (Solar-
135; Wind 50.4)</t>
  </si>
  <si>
    <t>Karnataka Bijapur PS</t>
  </si>
  <si>
    <t>TEQ GREEN POWER XVI PRIVATE LIMITED</t>
  </si>
  <si>
    <t>UPC RENEWABLES INDIA MANAGEMENT PRIVATE 
LIMITED</t>
  </si>
  <si>
    <t>TEPSOL GREEN ENERGY PRIVATE LIMITED</t>
  </si>
  <si>
    <t>200 (Wind- 160 
&amp; Solar-40)</t>
  </si>
  <si>
    <t>EG SOLWIN RENEWABLES PRIVATE LIMITED</t>
  </si>
  <si>
    <t>Karnataka Davangere PS 2200000714</t>
  </si>
  <si>
    <t>GENTARI RENEWABLES INDIA CASTOR ONE PVT. 
LTD</t>
  </si>
  <si>
    <t>Karnataka Davangere PS 2200000932</t>
  </si>
  <si>
    <t>Karnataka Davangere PS 2200000876</t>
  </si>
  <si>
    <t>JADE HYBREN PRIVATE LIMITED</t>
  </si>
  <si>
    <t>300(Solar-200 
MW, Wind-100 
MW)</t>
  </si>
  <si>
    <t>Karnataka Davangere PS 2200000625</t>
  </si>
  <si>
    <t>LAYER HYBREN PRIVATE LIMITED</t>
  </si>
  <si>
    <t>140 (100- Solar; 
40 Wind)</t>
  </si>
  <si>
    <t>Karnataka Davangere PS 2200000660</t>
  </si>
  <si>
    <t>720(Solar:360 
MW; Wind: 
360)</t>
  </si>
  <si>
    <t>Karnataka Davangere PS 2200000701</t>
  </si>
  <si>
    <t>Karnataka Davangere PS 2200000700</t>
  </si>
  <si>
    <t>Karnataka Davangere PS 2200000702</t>
  </si>
  <si>
    <t>160 (110- Solar; 
50 Wind)</t>
  </si>
  <si>
    <t>Karnataka Gadag PS</t>
  </si>
  <si>
    <t>Azure Power India Pvt. Ltd.</t>
  </si>
  <si>
    <t>LTA app no. 451100008 
(120 MW) &amp; 
0451100003 (50 MW)</t>
  </si>
  <si>
    <t>Green Infra Wind</t>
  </si>
  <si>
    <t>LTA app no. 451100007</t>
  </si>
  <si>
    <t>ReNew Naveen Urja Pvt. Ltd</t>
  </si>
  <si>
    <t>LTA app no. 451100009</t>
  </si>
  <si>
    <t>Serentica Renewables India Pvt. Ltd</t>
  </si>
  <si>
    <t>Tamil 
Nadu</t>
  </si>
  <si>
    <t>Karur PS</t>
  </si>
  <si>
    <t>LTA app no. 1200003536 JSW Neo Energy Ltd. (earstwhile JSW Future Energy 
Ltd.)</t>
  </si>
  <si>
    <t>JSW Renew Energy</t>
  </si>
  <si>
    <t>LTA app no. 1200003533 
(170 MW)</t>
  </si>
  <si>
    <t>JSP GREEN WIND 1 PRIVATE LIMITED</t>
  </si>
  <si>
    <t>NANNAI SOLAR PARK PRIVATE LIMITED</t>
  </si>
  <si>
    <t>Pugalur</t>
  </si>
  <si>
    <t>Tuticorin-II 
PS</t>
  </si>
  <si>
    <t>GRT JEWELLERS (INDIA) PRIVATE LIMITED</t>
  </si>
  <si>
    <t>WR</t>
  </si>
  <si>
    <t>Gujarat</t>
  </si>
  <si>
    <t>Bhuj PS</t>
  </si>
  <si>
    <t>SEVEN RENEWABLE POWER PRIVATE LIMITED</t>
  </si>
  <si>
    <t>NLC INDIA LIMITED</t>
  </si>
  <si>
    <t>OYSTER GREEN HYBRID ONE PRIVATE LIMITED</t>
  </si>
  <si>
    <t>Wind - 75.6, 
BESS - 20)</t>
  </si>
  <si>
    <t>INDIANOIL NTPC GREEN ENERGY PRIVATE LIMITED</t>
  </si>
  <si>
    <t>Bhuj-II PS</t>
  </si>
  <si>
    <t>CGE RENEWABLES PRIVATE LIMITED</t>
  </si>
  <si>
    <t>Wind: 30 MW
Solar: 60 MW</t>
  </si>
  <si>
    <t>Jam 
Khambhaliya 
PS</t>
  </si>
  <si>
    <t>25 MW Wind + 
25 MW Solar</t>
  </si>
  <si>
    <t>Powerica Limited</t>
  </si>
  <si>
    <t>MOUNTING RENEWABLE POWER LIMITED</t>
  </si>
  <si>
    <t>AIRPOWER WINDFARMS PRIVATE LIMITED</t>
  </si>
  <si>
    <t>ACME SUN POWER PRIVATE LIMITED</t>
  </si>
  <si>
    <t>POWERICA LIMITED</t>
  </si>
  <si>
    <t>MALAREN SOLAR PRIVATE LIMITED</t>
  </si>
  <si>
    <t>KPS1</t>
  </si>
  <si>
    <t>ADANI GREEN ENERGY LIMITED</t>
  </si>
  <si>
    <t>KPS-1 (Sec-I)</t>
  </si>
  <si>
    <t>Adani Green Energy Limited
Connectivity: 230700008;
LTA: 430700009 (1050MW);</t>
  </si>
  <si>
    <t>Adani Green Energy Ltd.</t>
  </si>
  <si>
    <t>KPS-1 (Sec-II)</t>
  </si>
  <si>
    <t>Adani Green Energy Limited
Connectivity: 230700006;
LTA: 430700007 (1000MW);</t>
  </si>
  <si>
    <t>Adani Green Energy Limited
Connectivity: 230700007;
LTA: 430700008 (1000MW);</t>
  </si>
  <si>
    <t>Adani Green Energy Limited
Connectivity: 1670426695890;
LTA: 1670929494955 (250MW);</t>
  </si>
  <si>
    <t>SW6949744157-
M029_D001_A002-
1670426695890</t>
  </si>
  <si>
    <t>Sarjan Realities Pvt. Ltd. (SRPL)</t>
  </si>
  <si>
    <t>KPS-2</t>
  </si>
  <si>
    <t>Gujarat State Electricity Corporation Limited
Connectivity: 1200003331 (600MW);
LTA: 1200003326 (100MW) &amp; 1200003327 
(500MW);</t>
  </si>
  <si>
    <t>Gujarat Industries Power Company Limited
Connectivity: 1200003371;
LTA: 1200003372;</t>
  </si>
  <si>
    <t>NTPC Renewable Energy Limited (NREL)
Connectivity: 1200003585 (265MW);
LTA: 1200003712 (265+100MW);</t>
  </si>
  <si>
    <t>NTPC Renewable Energy Limited (NREL)
Connectivity: 1200003733 (100MW);
LTA: 1200003712 (265+100MW);</t>
  </si>
  <si>
    <t>NTPC Renewable Energy Limited (NREL)
Connectivity: 1200003953 (890MW);
LTA: 0430700002 (500);</t>
  </si>
  <si>
    <t>Gujarat State Electricity Corporation Limited
Connectivity: 230700005;
LTA: 430000002;</t>
  </si>
  <si>
    <t>NTPC Renewable Energy Limited (NREL)</t>
  </si>
  <si>
    <t>NTPC Renewable Energy Limited
(NTPC REL)</t>
  </si>
  <si>
    <t>KPS3</t>
  </si>
  <si>
    <t>65 MW 
(Solar: 50MW 
Wind: 35MW)</t>
  </si>
  <si>
    <t>1530 MW 
(Solar:1400 MW 
&amp; Wind:130 
MW)</t>
  </si>
  <si>
    <t>KPS-3 (Sec-I)</t>
  </si>
  <si>
    <t>Adani Green Energy Limited
Connectivity: 230700009;
LTA: 430700010 (1050MW);</t>
  </si>
  <si>
    <t>NTPC Renewable Energy Limited</t>
  </si>
  <si>
    <t>KPS-3 (Sec-II)</t>
  </si>
  <si>
    <t>NHPC Limited</t>
  </si>
  <si>
    <t>Lakadiya PS</t>
  </si>
  <si>
    <t>AVAADA INCLEAN PRIVATE LIMITED</t>
  </si>
  <si>
    <t>ARCELORMITTAL NIPPON STEEL INDIA LIMITED</t>
  </si>
  <si>
    <t>550 (Wind 
250MW+Solar 
300MW)</t>
  </si>
  <si>
    <t>480
(240 MW: Wind 
240 MW: Solar)</t>
  </si>
  <si>
    <t>RDS SOLAR PARK PRIVATE LIMITED</t>
  </si>
  <si>
    <t>PERCENTUM RENEWABLES PRIVATE LIMITED</t>
  </si>
  <si>
    <t>100MW: Solar
200MW: Wind
Revised to 
50MW Solar &amp; 
98MW Wind.</t>
  </si>
  <si>
    <t>RENEW SOLAR (SHAKTI EIGHT) PRIVATE LIMITED</t>
  </si>
  <si>
    <t>TEQ GREEN POWER XVII PRIVATE LIMITED</t>
  </si>
  <si>
    <t>300
(200MW Solar 
&amp; 100MW 
Wind: as per 
letter dated 
30.11.2023 
from applicant)</t>
  </si>
  <si>
    <t>GANEKO SOLAR PRIVATE LIMITED</t>
  </si>
  <si>
    <t>Radhanesda 
PS</t>
  </si>
  <si>
    <t>SPRNG POWER EARTH PRIVATE LIMITED</t>
  </si>
  <si>
    <t>SPRNG VAYU VIDYUT PRIVATE LIMITED</t>
  </si>
  <si>
    <t>Raghanesda 
PS</t>
  </si>
  <si>
    <t>SPRNG WIND ENERGY PRIVATE LIMITED</t>
  </si>
  <si>
    <t>SPRNG OJAS PRIVATE LIMITED</t>
  </si>
  <si>
    <t>SPRNG VAYU KIRAN PRIVATE LIMITED</t>
  </si>
  <si>
    <t>Madhya 
Pradesh</t>
  </si>
  <si>
    <t>Indore (PG)</t>
  </si>
  <si>
    <t>RENEW URJA SHACHAR PRIVATE LIMITED</t>
  </si>
  <si>
    <t>RENEW SAMIR URJA PRIVATE LIMITED</t>
  </si>
  <si>
    <t>Mandsaur PS</t>
  </si>
  <si>
    <t>GREENKO MP01 IREP PRIVATE LIMITED</t>
  </si>
  <si>
    <t>BHOJRAJ RENEWABLES ENERGY PRIVATE LIMITED</t>
  </si>
  <si>
    <t>ADYANT ENERSOL PRIVATE LIMITED</t>
  </si>
  <si>
    <t>84 MW  (60 
MW Solar + 24 
MW Wind)</t>
  </si>
  <si>
    <t>GANEKO ONE ENERGY PRIVATE LIMITED</t>
  </si>
  <si>
    <t>Solar - 255 MW, 
Wind - 99 MW</t>
  </si>
  <si>
    <t>ADYANT POWER PRIVATE LIMITED</t>
  </si>
  <si>
    <t>200
(SOLAR 101 MW  
WIND 99 MW)</t>
  </si>
  <si>
    <t>ASNEN SOLAR PRIVATE LIMITED</t>
  </si>
  <si>
    <t>Neemuch PS</t>
  </si>
  <si>
    <t>Pachora PS</t>
  </si>
  <si>
    <t>BLUE LEAF ENERGY RENEWABLES PRIVATE
LIMITED (BLERPL)</t>
  </si>
  <si>
    <t>VEH SAUR URJA PRIVATE LIMITED (VSUPL )</t>
  </si>
  <si>
    <t>ABENERGIA RENEWABLES PRIVATE LIMITED</t>
  </si>
  <si>
    <t>BHOJRAJ DEVELOPERS PRIVATE LIMITED</t>
  </si>
  <si>
    <t>Wind: 160 MW
Solar: 26 MW</t>
  </si>
  <si>
    <t>VEH DAMEN POWER PRIVATE LIMITED</t>
  </si>
  <si>
    <t>AVAADA ENERGY PRIVATE LIMITED (AEPL)</t>
  </si>
  <si>
    <t>334 (250 MW 
Solar + 84 MW 
Wind)</t>
  </si>
  <si>
    <t>WAFT ENERGY PRIVATE LIMITED</t>
  </si>
  <si>
    <t>OYSTER GREEN HYBRID THREE PRIVATE LIMITED</t>
  </si>
  <si>
    <t>140
(Solar: 100 MW
Wind: 40 MW)</t>
  </si>
  <si>
    <t>Rajgarh SS</t>
  </si>
  <si>
    <t>Maharash
tra</t>
  </si>
  <si>
    <t>Dhule PS (Sec-
I)</t>
  </si>
  <si>
    <t>Kallam PS</t>
  </si>
  <si>
    <t>TEQ GREEN POWER XI PRIVATE LIMITED (TGPXIPL)</t>
  </si>
  <si>
    <t>TORRENT SOLAR POWER PRIVATE LIMITED</t>
  </si>
  <si>
    <t>Serentica Renewables India 4 Pvt. Ltd. (SRI4PL)</t>
  </si>
  <si>
    <t>ReNew Green (MHP One) Private Limited</t>
  </si>
  <si>
    <t>TEQ Green Power XI Pvt. Ltd.(TGPXIPL)</t>
  </si>
  <si>
    <t>Torrent Solar Power Private Limited (TSPPL)</t>
  </si>
  <si>
    <t>Parli</t>
  </si>
  <si>
    <t>Parli (New)</t>
  </si>
  <si>
    <t>Renew Pawan Shakti Private Limited (RPSPL)</t>
  </si>
  <si>
    <t>Parli PG SS</t>
  </si>
  <si>
    <t>Renew Tej Shakti Private Limited(RTSPL)</t>
  </si>
  <si>
    <t>Solapur PG</t>
  </si>
  <si>
    <t>ReNew Green Energy Solutions Pvt. Ltd.</t>
  </si>
  <si>
    <t>RENEW GREEN ENERGY SOLUTIONS PRIVATE 
LIMITED</t>
  </si>
  <si>
    <t>JSW RENEW ENERGY THIRTEEN LIMITED</t>
  </si>
  <si>
    <t>WAAREE FOREVER ENERGIES PRIVATE LIMITED</t>
  </si>
  <si>
    <t>Solapur PS</t>
  </si>
  <si>
    <t>SOLARCRAFT POWER INDIA 7 PRIVATE LIMITED</t>
  </si>
  <si>
    <t>SOLARCRAFT POWER INDIA 16 PVT. LTD.</t>
  </si>
  <si>
    <t>Wind - 191.4 
MW, Solar - 56 
MW, BESS - 91 
MW)</t>
  </si>
  <si>
    <t>SKADAR SOLAR PRIVATE LIMITED</t>
  </si>
  <si>
    <t>SOLARCRAFT POWER INDIA 20 PRIVATE LIMITED</t>
  </si>
  <si>
    <t>Wind - 66 MW, 
Solar - 18.75 
MW, BESS - 
12.56MW</t>
  </si>
  <si>
    <t>GANEKO TWO ENERGY PRIVATE LIMITED</t>
  </si>
  <si>
    <t>354 MW
(Solar: 255
Wind: 99)</t>
  </si>
  <si>
    <t>South Kalamb 2200000177</t>
  </si>
  <si>
    <t>THE TATA POWER COMPANY LIMITED</t>
  </si>
  <si>
    <t>MP</t>
  </si>
  <si>
    <t>WAAREE RENEWABLE TECHNOLOGIES LIMITED</t>
  </si>
  <si>
    <t>164 MW Hybrid 
(NTPC LOA: 70 
MW Solar + 24
MW Wind and 
SJVN LOA: 70 
MW Wind)</t>
  </si>
  <si>
    <t>ACME SOLAR HOLDINGS LIMITED</t>
  </si>
  <si>
    <t>Solar- 135 MW 
Wind - 160 MW 
BESS - 40</t>
  </si>
  <si>
    <t>Sprng Vayu Vidyut Pvt Ltd (SVVPL)</t>
  </si>
  <si>
    <t>Veh Jayin Renewables Private Limited</t>
  </si>
  <si>
    <t>Maharashtra</t>
  </si>
  <si>
    <t>NTPC LIMITED</t>
  </si>
  <si>
    <t>KPS-2 (Sec-I)</t>
  </si>
  <si>
    <t>Gujarat State Electricity Corporation Limited
Connectivity: 1200003331 (600MW);
LTA: 1200003326 (100MW) &amp; 1200003327 (500MW);</t>
  </si>
  <si>
    <t>KPS-2 (Sec-II)</t>
  </si>
  <si>
    <t>Tamil Nadu</t>
  </si>
  <si>
    <t>Hybrid (RHGS)</t>
  </si>
  <si>
    <t>AYANA RENEWABLE POWER FOUR PRIVATE LIMITED</t>
  </si>
  <si>
    <t>Gujarat State Electricity Corporation Limited
Connectivity: 230700005;</t>
  </si>
  <si>
    <t>RENEW GREEN ENERGY SOLUTIONS PRIVATE LIMITED</t>
  </si>
  <si>
    <t>Veh Wind Energy Private Limited</t>
  </si>
  <si>
    <t>Andhra Pradesh 30-11-25</t>
  </si>
  <si>
    <t>Anantapur PS</t>
  </si>
  <si>
    <t>St-II: 1200002401 (500 MW) (233 out of 
500 MW) 1200002403(500 MW) (100</t>
  </si>
  <si>
    <t>St-II:1200002428 (500 MW</t>
  </si>
  <si>
    <t>The Tata Power Company Limited</t>
  </si>
  <si>
    <t>St-II:1200003027 (110 MW</t>
  </si>
  <si>
    <t>Ayana Renewable Power Three Private Limited</t>
  </si>
  <si>
    <t>St-II:1200002986 (300 MW</t>
  </si>
  <si>
    <t>Bikaner-II</t>
  </si>
  <si>
    <t>St-II:1200003559(1000MW</t>
  </si>
  <si>
    <t>St-II: 1200003625 (100 MW) LTA: 
SW…1544323119(62 MW)</t>
  </si>
  <si>
    <t>SW9999482858- M029_D001_A007- 
1671556542236</t>
  </si>
  <si>
    <t>Serentica Renewables India Pvt. Ltd. (erstwhile Sterlite 
Power Technologies Private Limited)</t>
  </si>
  <si>
    <t>412100014 (1200003838-St-II)</t>
  </si>
  <si>
    <t>Fatehgarh-III (Sec-
I)</t>
  </si>
  <si>
    <t>Karnataka</t>
  </si>
  <si>
    <t>Gadag PS</t>
  </si>
  <si>
    <t>Connectivity Appl No.- 1200003497; LTA 
app no. 451100008 (120 MW) &amp;</t>
  </si>
  <si>
    <t>Green Infra Wind
Connectivity Appl No.- 0451100007</t>
  </si>
  <si>
    <t>Green Infra Wind Energy Limited</t>
  </si>
  <si>
    <t>SW5958957243-M029_D001_A007-
1670310631002</t>
  </si>
  <si>
    <t>Hiriyur</t>
  </si>
  <si>
    <t>Zenataris Renewable Energy Pvt. Ltd.</t>
  </si>
  <si>
    <t>ZENATARIS RENEWABLE ENERGY PRIVATE
LIMITED</t>
  </si>
  <si>
    <t>JSW Renew Energy
Connectivity Appl No.-1200002868</t>
  </si>
  <si>
    <t>LTA app no. 1200003533 (170 MW)
Connectivity Appl No.-1200002868</t>
  </si>
  <si>
    <t>JSW Neo Energy Ltd. (earstwhile JSW Future Energy 
Ltd.)</t>
  </si>
  <si>
    <t>LTA app no. 1200003536</t>
  </si>
  <si>
    <t>Koppal PS</t>
  </si>
  <si>
    <t>Tunga Renewables Energy Pvt. Ltd.
Connectivity Appl No.- 1200003577</t>
  </si>
  <si>
    <t>LTA app no. 1200003577</t>
  </si>
  <si>
    <t>Project Ten Renewable Power Pvt. Ltd.
( Connectivity Appl No.-1200003530)</t>
  </si>
  <si>
    <t>1200003530                            LTA app no. 
0451100005</t>
  </si>
  <si>
    <t>Kleio Solar Power Pvt. Ltd.</t>
  </si>
  <si>
    <t>209.39999999
999998</t>
  </si>
  <si>
    <t>Tunga Renewable Energy Pvt. Ltd.</t>
  </si>
  <si>
    <t>Serentica Renewable India 1 Pvt.</t>
  </si>
  <si>
    <t>13.333333333
333334</t>
  </si>
  <si>
    <t>133.33333333
333334</t>
  </si>
  <si>
    <t>Kurnool (new)</t>
  </si>
  <si>
    <t>Greenko AP01 IREP Pvt. Ltd
(Connectivity Appl No.- 1200002672)</t>
  </si>
  <si>
    <t>Greenko AP01 IREP Pvt. Ltd
Connectivity Appl No.-1200003962 )</t>
  </si>
  <si>
    <t>Total: 187 MW
Solar: 137.5</t>
  </si>
  <si>
    <t>Solar-400MW,  400</t>
  </si>
  <si>
    <t>Pavagada PS</t>
  </si>
  <si>
    <t>Project Ten Renewable Power Pvt. Ltd.</t>
  </si>
  <si>
    <t>LTA app no. 451100004</t>
  </si>
  <si>
    <t>Solar Energy Corporation of India Ltd.</t>
  </si>
  <si>
    <t>Ramagundam</t>
  </si>
  <si>
    <t>Tuticorin-II PS</t>
  </si>
  <si>
    <t>JSW RENEW ENERGY TWELVE LIMITED</t>
  </si>
  <si>
    <t>JSW GREEN ENERGY ONE LIMITED</t>
  </si>
  <si>
    <t>Gadag-II PS</t>
  </si>
  <si>
    <t>Green Infra Wind Energy Ltd.</t>
  </si>
  <si>
    <t>TP Saurya Ltd.</t>
  </si>
  <si>
    <t>Tata Power Renewable Energy Ltd.</t>
  </si>
  <si>
    <t>GREENKO KA01 IREP PRIVATE LIMITED</t>
  </si>
  <si>
    <t>Pump Storage</t>
  </si>
  <si>
    <t>Koppal-II PS</t>
  </si>
  <si>
    <t>TATA Power Renewable Energy Ltd.</t>
  </si>
  <si>
    <t>TORRENT SAURYA URJA 2 PRIVATE LIMITED</t>
  </si>
  <si>
    <t>VEH GREEN ENERGY PRIVATE LIMITED</t>
  </si>
  <si>
    <t>Andhra Pradesh 30-12-25</t>
  </si>
  <si>
    <t>Ircon Renewable Power Ltd.</t>
  </si>
  <si>
    <t>SOLAR ENERGY CORPORATION OF INDIA LIMITED</t>
  </si>
  <si>
    <t>Fatehgarh-III (Sec-
II)</t>
  </si>
  <si>
    <t>1200003562 (Enh. St-II)</t>
  </si>
  <si>
    <t>412100020 (St-II: 1200002847)</t>
  </si>
  <si>
    <t>Fatehgarh-IV (Sec-
I)</t>
  </si>
  <si>
    <t>412100009 (St-II: 1200003827, 
1200003910, 1200003958, 0312100010</t>
  </si>
  <si>
    <t>412100019 (St-II: 0312100005)</t>
  </si>
  <si>
    <t>SOLARXL BETA ENERGY PRIVATE LIMITED</t>
  </si>
  <si>
    <t>207 (Solar-138 
MW, Wind-69</t>
  </si>
  <si>
    <t>PROJECT NINE RENEWABLE POWER PRIVATE LIMITED</t>
  </si>
  <si>
    <t>327MW [Solar-
153 MW &amp; 
Wind-174MW]</t>
  </si>
  <si>
    <t>Jam Khambhaliya 
PS</t>
  </si>
  <si>
    <t>GADAG POWER INDIA PRIVATE LIMITED</t>
  </si>
  <si>
    <t>AYANA RENEWABLE POWER PRIVATE LIMITED</t>
  </si>
  <si>
    <t>Pachora PS (Sec-
II)</t>
  </si>
  <si>
    <t>Oyster Renewable Energy Private Limited (formerly 
Known as ABENERGIA RENEWABLES PRIVATE LIMITED)</t>
  </si>
  <si>
    <t>Oyster Renewable Energy Private Limited (Former 
name-ABENERGIA RENEWABLES PRIVATE LIMITED)</t>
  </si>
  <si>
    <t>Hybrid (RHGS) Wind: 160</t>
  </si>
  <si>
    <t>MW
Solar: 26 MW</t>
  </si>
  <si>
    <t>Prerak Greentech Solar Private Limited (Park)</t>
  </si>
  <si>
    <t>SW9990894382- M029_D001_A007- 
1671216520154
(0212100003)</t>
  </si>
  <si>
    <t>412100012, 0212100027 (St-II)</t>
  </si>
  <si>
    <t>412100013, 0312100013 (St-II), 
1670400777119 (St-II)</t>
  </si>
  <si>
    <t>SW9990897533- M029_D001_A007- 
1672319027575, 0212100030 (St-II)</t>
  </si>
  <si>
    <t>412100027 (SW5102826596-
M029_D001_A003-1670400777119 
(10MW out of 70MW) + 0312100011</t>
  </si>
  <si>
    <t>Bidar PS</t>
  </si>
  <si>
    <t>200-Solar;
25-BESS</t>
  </si>
  <si>
    <t>Solapur PS (400 
Sec-I)</t>
  </si>
  <si>
    <t>Pachora PS (Sec-
I)</t>
  </si>
  <si>
    <t>Andhra Pradesh 31-03-26</t>
  </si>
  <si>
    <t>412100010 (St-II: 1200003827, 
1200003910, 1200003958, 0312100010 
&amp; 0312100012)</t>
  </si>
  <si>
    <t>JSW Renew Energy Three Limited</t>
  </si>
  <si>
    <t>Hybrid (RHGS) Wind - 191.4</t>
  </si>
  <si>
    <t>MW, Solar - 56 
MW, BESS - 91 
MW)</t>
  </si>
  <si>
    <t>SOLARCRAFT POWER INDIA 16 PRIVATE LIMITED</t>
  </si>
  <si>
    <t>300
(200MW Solar</t>
  </si>
  <si>
    <t>TEQ GREEN POWER XVIII PRIVATE LIMITED</t>
  </si>
  <si>
    <t>KARNATAKA SOLAR POWER DEVELOPMENT
CORPORATION LIMITED</t>
  </si>
  <si>
    <t>Andhra Pradesh 31-05-26</t>
  </si>
  <si>
    <t>Andhra Pradesh 30-06-26</t>
  </si>
  <si>
    <t>Juniper Green Steller Pvt. Ltd.</t>
  </si>
  <si>
    <t>St-II: 312100010 (45 MW) (5 out of 45 MW), 312100012 (60 MW</t>
  </si>
  <si>
    <t>Adani Renewable Energy Holding Four Ltd. (AREH4L)</t>
  </si>
  <si>
    <t>SW6949744157-M029_D001_A002-
1670426695890
Connectivity: 1670426695890</t>
  </si>
  <si>
    <t>480
(240 MW: 
Wind 240 
MW: Solar)</t>
  </si>
  <si>
    <t>Radhanesda PS</t>
  </si>
  <si>
    <t>Andhra Pradesh 01-07-26</t>
  </si>
  <si>
    <t>0312100018 (Enhancement)</t>
  </si>
  <si>
    <t>Fatehgarh-IV (Sec-
II)</t>
  </si>
  <si>
    <t>Bijapur PS</t>
  </si>
  <si>
    <t>200 (Wind- 
160 &amp; Solar-
40)</t>
  </si>
  <si>
    <t>Davangere PS</t>
  </si>
  <si>
    <t>140 (100- 
Solar; 40 
Wind)</t>
  </si>
  <si>
    <t>Tumkur-II PS</t>
  </si>
  <si>
    <t>Andhra Pradesh 30-09-26</t>
  </si>
  <si>
    <t>160 (110- 
Solar; 50 
Wind)</t>
  </si>
  <si>
    <t>Adani Renewable Energy Holding Four Ltd. (Erstwhile 
Adani Green Energy Four Ltd.)</t>
  </si>
  <si>
    <t>Mandsaur PS 
(Sec-I)</t>
  </si>
  <si>
    <t>Navinal</t>
  </si>
  <si>
    <t>ADANI WIND ENERGY KUTCHH THREE LIMITED</t>
  </si>
  <si>
    <t>CONTINUUM POWER TRADING (TN) PRIVATE
LIMITED</t>
  </si>
  <si>
    <t>GUJARAT STATE ELECTRICITY CORPORATION
LIMITED</t>
  </si>
  <si>
    <t>Bhuj-II PS (Sec-I)</t>
  </si>
  <si>
    <t>Bhuj-II PS (Sec-II)</t>
  </si>
  <si>
    <t>Hybrid (RHGS) Wind: 30 MW</t>
  </si>
  <si>
    <t>Solar: 60 MW</t>
  </si>
  <si>
    <t>ANDHRA PRADESH RESCO ROOFTOP SOLAR PRIVATE 
LIMITED</t>
  </si>
  <si>
    <t>Solar: 188MW
Wind: 201 
MW
BESS: 30MWh</t>
  </si>
  <si>
    <t>1200003889
(Enh.)</t>
  </si>
  <si>
    <t>NER</t>
  </si>
  <si>
    <t>Assam</t>
  </si>
  <si>
    <t>Bokajan (ISTS)</t>
  </si>
  <si>
    <t>ASSAM POWER DISTRIBUTION COMPANY LIMITED</t>
  </si>
  <si>
    <t>Dhule PS (Sec-I)</t>
  </si>
  <si>
    <t>Halvad Renewables Pvt. Ltd.</t>
  </si>
  <si>
    <t>AMPLUS SUN BEAT PRIVATE LIMITED</t>
  </si>
  <si>
    <t>AMPLUS THETA ENERGY PVT. LTD.  [ERSTWHILE 
AMPLUS CENEDUS SOLAR PVT. LTD.]</t>
  </si>
  <si>
    <t>VENA ENERGY AURA PRIVATE LIMITED</t>
  </si>
  <si>
    <t>Andhra Pradesh 31-12-26</t>
  </si>
  <si>
    <t>228(Solar:105
MW; Wind: 
126 MW)</t>
  </si>
  <si>
    <t>Mandsaur PS 
(Sec-II)</t>
  </si>
  <si>
    <t>50 (Wind) : 
revised from 
Hybrid (25S &amp; 
25W)after 
final grant</t>
  </si>
  <si>
    <t>APRAAVA ENERGY PRIVATE LIMITED</t>
  </si>
  <si>
    <t>TEQ GREEN POWER XX PRIVATE LIMITED</t>
  </si>
  <si>
    <t>GENTARI RENEWABLES INDIA CASTOR ONE PVT. LTD</t>
  </si>
  <si>
    <t>Merta-II</t>
  </si>
  <si>
    <t>Andhra Pradesh 25-03-27</t>
  </si>
  <si>
    <t>Kurnool-IV PS</t>
  </si>
  <si>
    <t>GENTARI RENEWABLES INDIA CASTOR ONE
PRIVATE LIMITED</t>
  </si>
  <si>
    <t>Andhra Pradesh 28-03-27</t>
  </si>
  <si>
    <t>Andhra Pradesh 31-03-27</t>
  </si>
  <si>
    <t>Anantapur-II PS</t>
  </si>
  <si>
    <t>Total: 312 MW
Solar: 132 MW</t>
  </si>
  <si>
    <t>RENEW VAYU ENERGY PRIVATE LIMITED</t>
  </si>
  <si>
    <t>300
Solar-200 MW
Wind-100 MW</t>
  </si>
  <si>
    <t>Solar: 85 MW
Wind:118.8</t>
  </si>
  <si>
    <t>Solar - 255 
MW, Wind - 
99 MW</t>
  </si>
  <si>
    <t>Pachora PS (Sec-
III)</t>
  </si>
  <si>
    <t>JAGALURU SOLAR POWER PRIVATE LIMITED</t>
  </si>
  <si>
    <t>NCL INDUSTRIES LTD</t>
  </si>
  <si>
    <t>VIVID SOLAIRE ENERGY PRIVATE LIMITED</t>
  </si>
  <si>
    <t>Andhra Pradesh 01-04-27</t>
  </si>
  <si>
    <t>Sembcorp Green Infra Pvt. Ltd.
(erstwhile Green Infra Wind Energy Private Limited)</t>
  </si>
  <si>
    <t>Mandsaur PS 
(Sec-III)</t>
  </si>
  <si>
    <t>JSP GREEN PRIVATE LIMITED</t>
  </si>
  <si>
    <t>Andhra Pradesh 30-06-27</t>
  </si>
  <si>
    <t>SPRNG POWERINFRA PRIVATE LIMITED</t>
  </si>
  <si>
    <t>Raghanesda PS</t>
  </si>
  <si>
    <t>Morena PS</t>
  </si>
  <si>
    <t>GREENKO RJ01 IREP PRIVATE LIMITED</t>
  </si>
  <si>
    <t>Bellary PS</t>
  </si>
  <si>
    <t>GENTARI RENEWABLES INDIA UTILITIES 2 PRIVATE
LIMITED</t>
  </si>
  <si>
    <t>SERENTICA RENEWABLES INDIA 11 PRIVATE LIMITED</t>
  </si>
  <si>
    <t>AZURE POWER SIXTY THREE PRIVATE LIMITED</t>
  </si>
  <si>
    <t>VISMAYA RENEWABLES INDIA PROJECT
PRIVATELIMITED</t>
  </si>
  <si>
    <t>Lakadia-II (Sec-I)</t>
  </si>
  <si>
    <t>CLEAN MAX SOLARIS PRIVATE LIMITED</t>
  </si>
  <si>
    <t>150MW: Wind
50MW: Solar</t>
  </si>
  <si>
    <t>CLEAN MAX ALCHEMY PRIVATE LIMITED</t>
  </si>
  <si>
    <t>TEQ GREEN POWER XIII PRIVATE LIMITED</t>
  </si>
  <si>
    <t>Solar 120 MW, 
Wind 180 MW 
&amp; BESS 30 
MW)</t>
  </si>
  <si>
    <t>FEMUND SOLAR PRIVATE LIMITED</t>
  </si>
  <si>
    <t>RELIANCE INDUSTRIES LIMITED</t>
  </si>
  <si>
    <t>Lakadia-II (Sec-II)</t>
  </si>
  <si>
    <t>BN DISPATCHABLE-2 PRIVATE LIMITED</t>
  </si>
  <si>
    <t>BN PEAK POWER-2 PRIVATE LIMITED</t>
  </si>
  <si>
    <t>ADANI RENEWABLE ENERGY TEN LIMITED</t>
  </si>
  <si>
    <t>Solapur PS (400 
Sec-II)</t>
  </si>
  <si>
    <t>TORRENT URJA 18 PRIVATE LIMITED</t>
  </si>
  <si>
    <t>UNIQUE HYBRID GLOBAL RENEWABLE ENERGY
PRIVATE LIMITED</t>
  </si>
  <si>
    <t>Andhra Pradesh 31-12-27</t>
  </si>
  <si>
    <t>GANEKO THREE ENERGY PRIVATE LIMITED</t>
  </si>
  <si>
    <t>AMP ENERGY C&amp;I THIRTEEN PRIVATE LIMITED</t>
  </si>
  <si>
    <t>K.P. ENERGY LIMITED</t>
  </si>
  <si>
    <t>NAVALADI WIND PARK PRIVATE LIMITED</t>
  </si>
  <si>
    <t>Jamnagar S/s</t>
  </si>
  <si>
    <t>MFA RENEWABLES PRIVATE LIMITED</t>
  </si>
  <si>
    <t>OPWIND ENERGY PRIVATE LIMITED</t>
  </si>
  <si>
    <t>KADODIYA WIND ENERGY PRIVATE LIMITED</t>
  </si>
  <si>
    <t>SATPURA RENEWABLE PRIVATE LIMITED</t>
  </si>
  <si>
    <t>Andhra Pradesh 01-01-28</t>
  </si>
  <si>
    <t>South Kalamb</t>
  </si>
  <si>
    <t>Andhra Pradesh 29-02-28</t>
  </si>
  <si>
    <t>160 (Solar:40 
MW, Wind:</t>
  </si>
  <si>
    <t>TEQ GREEN POWER XXII PRIVATE LIMITED</t>
  </si>
  <si>
    <t>Andhra Pradesh 31-03-28</t>
  </si>
  <si>
    <t>ESSAR RENEWABLES LIMITED</t>
  </si>
  <si>
    <t>JUNIPER GREEN GEM PRIVATE LIMITED</t>
  </si>
  <si>
    <t>Andhra Pradesh 30-09-28</t>
  </si>
  <si>
    <t>GUJARAT INDUSTRIES POWER COMPANY LTD.</t>
  </si>
  <si>
    <t>MIYANI POWER INFRA LLP</t>
  </si>
  <si>
    <t>Kalyanpur PS 
(Sec-I)</t>
  </si>
  <si>
    <t>IRIS RENEWABLES ALPHA TWO PRIVATE LIMITED</t>
  </si>
  <si>
    <t>DEVPUR RENEWABLES PRIVATE LIMITED</t>
  </si>
  <si>
    <t>SPRNG GREEN ENERGY PRIVATE LIMITED</t>
  </si>
  <si>
    <t>PRAVAT RENEWABLES INDIA PROJECT PRIVATE
LIMITED</t>
  </si>
  <si>
    <t>65 MW 
(Solar: 50MW</t>
  </si>
  <si>
    <t>ADANI RENEWABLE ENERGY TWO LIMITED</t>
  </si>
  <si>
    <t>SPRNG GREEN ENERGY 2 PRIVATE LIMITED</t>
  </si>
  <si>
    <t>JSW Energy Utkal Limited</t>
  </si>
  <si>
    <t>AVAADA RJSUSTAINABLE PRIVATE LIMITED</t>
  </si>
  <si>
    <t>ARIGHT FOODS AND ENERGY PRIVATE LIMITED</t>
  </si>
  <si>
    <t>JUNACHAY WIND ENERGY PRIVATE LIMITED</t>
  </si>
  <si>
    <t>DHARVI KALAN WIND ENERGY PRIVATE LIMITED</t>
  </si>
  <si>
    <t>DANGRI WIND ENERGY PRIVATE LIMITED</t>
  </si>
  <si>
    <t>TEQ GREEN POWER IX PRIVATE LIMITED</t>
  </si>
  <si>
    <t>ACME GAMMA URJA PRIVATE LIMITED</t>
  </si>
  <si>
    <t>ENREN-IV ENERGY PRIVATE LIMITED</t>
  </si>
  <si>
    <t>POKHRAN WIND ENERGY PRIVATE LIMITED</t>
  </si>
  <si>
    <t>UNIQUE HYTECH RENEWABLE ENERGY PRIVATE 
LIMITED</t>
  </si>
  <si>
    <t>Merta-III</t>
  </si>
  <si>
    <t>Pali</t>
  </si>
  <si>
    <t>Bhadla-V</t>
  </si>
  <si>
    <t>SPRNG GREEN ENERGY 4 PRIVATE LIMITED</t>
  </si>
  <si>
    <t>ROHAT SOLAR PARK PRIVATE LIMITED</t>
  </si>
  <si>
    <t>JIRE GREEN ENERGY PROJECT THREE LIMITED</t>
  </si>
  <si>
    <t>GODAVARI GREEN ENERGY PRIVATE LIMITED</t>
  </si>
  <si>
    <t>AZURE POWER FIFTY ONE PRIVATE LIMITED</t>
  </si>
  <si>
    <t>TORRENT GREEN ENERGY PRIVATE LIMITED</t>
  </si>
  <si>
    <t>400/220kV Jam 
Khambhaliya (GIS) PS #</t>
  </si>
  <si>
    <t>22°08'41"N 69°40'38"E</t>
  </si>
  <si>
    <t>765/400/220kV Bhuj 
PS#</t>
  </si>
  <si>
    <t>23.45583333˚ N, 69.56235833˚ E</t>
  </si>
  <si>
    <t>765/400/220kV Bhuj-II 
PS#</t>
  </si>
  <si>
    <t>Boundary Coordinates
23°22'29.92"N 69° 8'32.39"E
23°22'26.60"N 69° 8'55.06"E
23°22'6.44"N 69° 8'43.33"E
23°22'15.91"N 69° 8'24.01"E</t>
  </si>
  <si>
    <t>400/220kV Bhachau S/s</t>
  </si>
  <si>
    <t>23.20613889˚ N, 70.18733333˚ E</t>
  </si>
  <si>
    <t>Khavda PS-I</t>
  </si>
  <si>
    <t>Boundary Coordinates:
534252.00 m E 2665370.00 m N
534924.00 m E 2665328.00 m N
534892.00 m E 2664895.00 m N
534253.00 m E 2664935.00 m N</t>
  </si>
  <si>
    <t>Khavda PS-II</t>
  </si>
  <si>
    <t>Banaskantha 
(Radhanesda)
PS
[GIS]
(Vav)</t>
  </si>
  <si>
    <t>Boundary Coordinates:
24°20'33.9"N 71°29'08.3"E
24°20'40.4"N 71°29'13.5"E
24°20'35.5"N 71°29'20.6"E
24°20'29.0"N 71°29'15.3"E</t>
  </si>
  <si>
    <t>400/220kV Rajgarh (PG) 
(existing)  S/s#</t>
  </si>
  <si>
    <t>22.68222222˚ N, 74.92444444˚ E</t>
  </si>
  <si>
    <t>400/220kV Indore (PG) 
(existing) S/s</t>
  </si>
  <si>
    <t>22°54'31.81"N, 75°53'58.87"E</t>
  </si>
  <si>
    <t>Pachora PS#</t>
  </si>
  <si>
    <t>23.7177N 76.12333E</t>
  </si>
  <si>
    <t>Khandwa S/s (PG) 
(existing S/s)</t>
  </si>
  <si>
    <t>21.83240889˚ N, 76.40401778˚ E</t>
  </si>
  <si>
    <t>Raipur S/s (PG) (Existing 
S/s)#</t>
  </si>
  <si>
    <t>21˚ 14ʼ 00ˮN, 81˚ 29ʼ 00ˮE</t>
  </si>
  <si>
    <t>Kallam PS#</t>
  </si>
  <si>
    <t>18°37'21.05"N, 75°52'17.08"E</t>
  </si>
  <si>
    <t>765/400/220kV Solapur 
(PG) (existing S/s)#</t>
  </si>
  <si>
    <t>17˚ 36ʼ 31.21ˮ N, 76˚ 2ʼ 59.98ˮE</t>
  </si>
  <si>
    <t>400/230 kV Tuticorin-II 
S/s</t>
  </si>
  <si>
    <t>9°3'02.1''  N 77°55'31.6''E</t>
  </si>
  <si>
    <t>400/230 kV Pugalur S/s</t>
  </si>
  <si>
    <t>10°57'42"N   77°55'22"E</t>
  </si>
  <si>
    <t>400/220 kV Palakkad S/s 10°46'22"N   76°45'36"E</t>
  </si>
  <si>
    <t>400/220 kV NP Kunta 
S/s</t>
  </si>
  <si>
    <t>14° 2'53.18"N, 78°25'43.01"E</t>
  </si>
  <si>
    <t>400/220 kV Pavagada 
S/s</t>
  </si>
  <si>
    <t>14.318579N 77.385479E</t>
  </si>
  <si>
    <t>400/220 kV Hiriyur S/s</t>
  </si>
  <si>
    <t>13°57'12.33"N 76°32'11.40"E</t>
  </si>
  <si>
    <t>765/400 kV 
Kurnool(new) S/s</t>
  </si>
  <si>
    <t>15°40'28.6" N   
78°10'35.23" E</t>
  </si>
  <si>
    <t>400/220 kV Koppal S/s</t>
  </si>
  <si>
    <t>15°21'55.49"N
75°59'24.61"E</t>
  </si>
  <si>
    <t>400/230 kV Karur S/s</t>
  </si>
  <si>
    <t>10°50'34.10"N
77°39'32.91"E</t>
  </si>
  <si>
    <t>400/220 kV Gadag S/s</t>
  </si>
  <si>
    <t>Boundary coordinates
15°47'13.673"N , 75°51'35.001" E
15°47'13.207" N, 75°51'22.707" E
15°46'58.257" N, 75°51'20.956" E
15°46'57.085" N, 75°51'34.122" E</t>
  </si>
  <si>
    <t>765/400/220kV Koppal-
II PS</t>
  </si>
  <si>
    <t>400/220kV Gadag-II PS</t>
  </si>
  <si>
    <t>765/400/220kV Bhadla 
PS #</t>
  </si>
  <si>
    <t>27 25 10 N, 72 04 20E</t>
  </si>
  <si>
    <t>765/400/220kV Bikaner 
S/s #</t>
  </si>
  <si>
    <t>28 14 57 N, 73 22 55 E</t>
  </si>
  <si>
    <t>400kV Fatehgarh PS 
(TBCB) #</t>
  </si>
  <si>
    <t>26°51'8.48"N, 71°30'34.29"E</t>
  </si>
  <si>
    <t>765/400/220kV Bhadla-
II PS #</t>
  </si>
  <si>
    <t>Boundary Coordinates
Point1:- 27.5047695, 72.4764157
Point2:- 27.5103991, 72.4844684
Point3:- 27.5160828, 72.4792790
Point4:- 27.5109950, 72.4713292</t>
  </si>
  <si>
    <t>765/400/220kV 
Fatehgarh-II PS #</t>
  </si>
  <si>
    <t>Boundary Coordinates
Point1:- N 26°42'13.3884",    E 
71°16'48.936
Point2:- N 26°42'13.5936",    E 
71°16'19.9956"
Point3:- N 26°42'45.9396",    E 
71°16'19.8588"
Point4:- N 26°42'45.6912",    E 
71°16'48.666"</t>
  </si>
  <si>
    <t>765/400/220kV 
Fatehgarh-III PS #</t>
  </si>
  <si>
    <t>26°21' 00" N, 71°06' 00" E</t>
  </si>
  <si>
    <t>400/220kV Bikaner-II 
PS#</t>
  </si>
  <si>
    <t>28°09'20"N, 73*00'23.4"E</t>
  </si>
  <si>
    <t>400/220kV Fatehgarh-IV 
PS#</t>
  </si>
  <si>
    <t>Boundary Coordinates*
Point1:- N 26°13'38.76",    E 
71°15'42.74"
Point2:- N 26°13'59.62",    E 
71°15'53.12"
Point3:- N 26°14'11.27",    E 
71°15'23.11"
Point4:- N 26°13'50.22",    E 
71°15'12.67"</t>
  </si>
  <si>
    <t>765/400/220kV Bhadla-
III PS#</t>
  </si>
  <si>
    <t>Boundary Coordinates*
Point1:- N 27°40'15.65",    E 
72°12'12.17"
Point2:- N 27°40'2.8",    E 72°12'20.84"
Point3:- N 27°40'10.33",    E 
72°12'37.23"
Point4:- N 27°40'23.54",    E 
72°12'29.23"</t>
  </si>
  <si>
    <t>765/400/220kV 
Ramgarh PS#</t>
  </si>
  <si>
    <t>Boundary Coordinates*
Point1:- N 27°26'39.53",    E 
70°28'33.75"
Point2:- N 27°26'40.33",    E 
70°29'2.68"
Point3:- N 27°27'5.74",    E 
70°28'52.85"
Point4:- N 27°27'5.92",    E 
70°28'21.92"</t>
  </si>
  <si>
    <t>765/400/220kV Bikaner-
III PS#</t>
  </si>
  <si>
    <t>Location to be identified</t>
  </si>
  <si>
    <t>Disclaimer :- 
# In addition space provision has been kept for future I/c or drawl arrangement. 
1. Boundary coordinates indicates the periphery within which the Sub-station is located.
2. Bay numbers are indicative in nature and may be co-related with SLD issued by concerned ISTS Licensee.
3. *The co-ordinates are tentative in nature and subject to change as per availablity of land with in boundary limit. Boundary limit is 3 km radius of above plot (3 km from any of the corner).</t>
  </si>
  <si>
    <t>District</t>
  </si>
  <si>
    <t>Complex</t>
  </si>
  <si>
    <t>S/s</t>
  </si>
  <si>
    <t>Location (Village/Tehsil)</t>
  </si>
  <si>
    <t>Others (CTUIL)</t>
  </si>
  <si>
    <t>RE Potential (GW)</t>
  </si>
  <si>
    <t>Installed Capacity</t>
  </si>
  <si>
    <t>U/c &amp; granted Capacity</t>
  </si>
  <si>
    <t>Transmission Scheme</t>
  </si>
  <si>
    <t xml:space="preserve">Complex </t>
  </si>
  <si>
    <t>Data Scoure (Sl. No.(s)9, 10a, )</t>
  </si>
  <si>
    <t>Kurnool</t>
  </si>
  <si>
    <t>Anantapur</t>
  </si>
  <si>
    <t>Gadag</t>
  </si>
  <si>
    <t>Koppal</t>
  </si>
  <si>
    <t>45 GW   (15 GW Wind &amp; 30  GW solar in GIB  Zone)</t>
  </si>
  <si>
    <t>Andhra Pradesh</t>
  </si>
  <si>
    <t>Offshore wind</t>
  </si>
  <si>
    <t>Telangana</t>
  </si>
  <si>
    <t>Madhya Pradesh</t>
  </si>
  <si>
    <t>5.4</t>
  </si>
  <si>
    <t>8.5</t>
  </si>
  <si>
    <t>2.5</t>
  </si>
  <si>
    <t>0.5</t>
  </si>
  <si>
    <t>Fatehgarh-IV</t>
  </si>
  <si>
    <t>Ajmer</t>
  </si>
  <si>
    <t>Nagaur</t>
  </si>
  <si>
    <t>Jaisalmer/ Jodhpur  (Intra-State)</t>
  </si>
  <si>
    <t>Total</t>
  </si>
  <si>
    <t>Jaisalmer/  Jodhpur   (Intra-State)</t>
  </si>
  <si>
    <t>Jaisalmer/ Jodhpur   (Intra-State)</t>
  </si>
  <si>
    <t>Kurnool-IV</t>
  </si>
  <si>
    <t>Kurnool-V</t>
  </si>
  <si>
    <t>Anantapur-II</t>
  </si>
  <si>
    <t>Kadapa-II</t>
  </si>
  <si>
    <t>Koppal-II</t>
  </si>
  <si>
    <t>Gadag-II</t>
  </si>
  <si>
    <t>Devanagere/  Chitragurga</t>
  </si>
  <si>
    <t>Bijapur</t>
  </si>
  <si>
    <t>Bellary</t>
  </si>
  <si>
    <t>Tumkur-II</t>
  </si>
  <si>
    <t>Nizamabad-II</t>
  </si>
  <si>
    <t>Medak</t>
  </si>
  <si>
    <t>Rangareddy</t>
  </si>
  <si>
    <t>Karimnagar</t>
  </si>
  <si>
    <t>Sl. No.</t>
  </si>
  <si>
    <t>Sl.No.</t>
  </si>
  <si>
    <t>Pooling S/s</t>
  </si>
  <si>
    <t>Additional Information of Pooling S/s</t>
  </si>
  <si>
    <t>Timelines</t>
  </si>
  <si>
    <t>RE Potential</t>
  </si>
  <si>
    <t>Expected CoD of Pooling Station</t>
  </si>
  <si>
    <t>Connectivity Granted/ Agreed</t>
  </si>
  <si>
    <t>Margin for Connectivity</t>
  </si>
  <si>
    <t>Additional Margin for Connectivity requiring ICT Augmentation / additional Tr. System</t>
  </si>
  <si>
    <t>Effectiveness of GNA for Capacity mentioned under "Margin for Connectivity</t>
  </si>
  <si>
    <t>RE Potential (MW) [A]</t>
  </si>
  <si>
    <t>BESS (MW) [B]</t>
  </si>
  <si>
    <t>S/s Evacuation Capacity (RE Potential - BESS [AB])</t>
  </si>
  <si>
    <t>200 kV</t>
  </si>
  <si>
    <t>400 kV</t>
  </si>
  <si>
    <t>Total (MW)</t>
  </si>
  <si>
    <t>Existing PS</t>
  </si>
  <si>
    <t>Bhadla Complex</t>
  </si>
  <si>
    <t>Existing</t>
  </si>
  <si>
    <t>5251.375MW: Existing
4273.625MW: Nov'25 onwards (Ph-II/Ph-III/Ph-IV) (upto Mar'27)</t>
  </si>
  <si>
    <t>1a</t>
  </si>
  <si>
    <t>Bhadla</t>
  </si>
  <si>
    <t>3580MW: Existing</t>
  </si>
  <si>
    <t>1b</t>
  </si>
  <si>
    <t>1671.375MW: Existing
4273.625MW: Nov'25 onwards (Ph-II/Ph-III/Ph-IV) (upto Mar'27)</t>
  </si>
  <si>
    <t>Fatehgarh-Barmer Complex</t>
  </si>
  <si>
    <t>7225.83MW: Existing
2914.17MW: Nov'25 onwards (Ph-II/Ph-III/Ph-IV) (upto Mar'27)</t>
  </si>
  <si>
    <t>2a</t>
  </si>
  <si>
    <t>Fatehgarh</t>
  </si>
  <si>
    <t>Existing Tr. System</t>
  </si>
  <si>
    <t>2b</t>
  </si>
  <si>
    <t>3525.83MW: Existing
1934.17MW: Nov'25 onwards (Ph-II/Ph-III/Ph-IV) (upto Mar'27)</t>
  </si>
  <si>
    <t>2c</t>
  </si>
  <si>
    <t>Section-I</t>
  </si>
  <si>
    <t>1500MW: Existing
480MW: Nov'25 (Ph-II)
Including 2x250MW BESS granted at Fatehgarh-III (Section-I)
250MW: Existing
250MW: Mar'26</t>
  </si>
  <si>
    <t>Bikaner Complex</t>
  </si>
  <si>
    <t>2865MW: Existing 
3360MW: Nov'25 onwards (Ph-II/Ph-IV/Ph-V) (upto Mar'27)</t>
  </si>
  <si>
    <t>3a</t>
  </si>
  <si>
    <t>2865MW: Existing
1360MW:  Nov'25 onwards (Ph-II/Ph-IV/Ph-V) (Upto Mar'27)</t>
  </si>
  <si>
    <t>3b</t>
  </si>
  <si>
    <t>5760MW:Nov'25 onwards (Upto Aug'26) (Ph-II/Ph-IV Part-I&amp;II)</t>
  </si>
  <si>
    <t>Between Jul-25 to Dec-25</t>
  </si>
  <si>
    <t>Sep'25</t>
  </si>
  <si>
    <t>3700MW : Feb'26 onwards (Upto Aug'26 (Ph-IV)): cumulative at Ramgarh 
&amp; Bhadla-III: Raj. (Ph-III)
Beyond 3700MW : Bhadla HVDC (Jan'29 Pole-1 &amp; Jul'29 Pole-2)
Out of 3750MW, 250MW connectvity of standalone BESS  agreed for grant 
recently</t>
  </si>
  <si>
    <t>Dec'25 onwards (Ph-III) (Upto Mar' 27(Ph-IV/V) )</t>
  </si>
  <si>
    <t>5a</t>
  </si>
  <si>
    <t>Section-II</t>
  </si>
  <si>
    <t>Jul'25 onwards</t>
  </si>
  <si>
    <t>Dec'25 onwards- (Ph-III) (Upto Mar'27 (Ph-IV/V) )</t>
  </si>
  <si>
    <t>5b</t>
  </si>
  <si>
    <t>Aug'25</t>
  </si>
  <si>
    <t>Dec'25 onwards (Ph-III) (Upto Aug26)</t>
  </si>
  <si>
    <t>650W-3100MW : Bhadla HVDC (Jan'29 Pole-1 &amp; Jul'29 Pole-2)
Transmission system for evacuation of power (beyond 2.9GW and upto 4 
GW) HVDC sys. is under planning (Exp Comm. up to Oct'30).</t>
  </si>
  <si>
    <t>Dec'25</t>
  </si>
  <si>
    <t>4000MW: Dec'25 (Ph-IV, Part-I&amp;II) (Upto Aug'26)
667MW: with Bikaner-IV tr. System having schedule Nov'26</t>
  </si>
  <si>
    <t>Between Jul-26 to Dec-31</t>
  </si>
  <si>
    <t>Aug'26</t>
  </si>
  <si>
    <t>Hybrid RE Potential : 9GW (Wind+Solar) along with BESS (4 GW), S/s 
Evacuation Capacity: 5GW
For 4000MW (out of 5000MW): Nov'26 (Ph-IV, Part-II). 
For evacuation of balance 980MW : Dec'26 (Ph-IV, Part-IV).</t>
  </si>
  <si>
    <t>Nov'26</t>
  </si>
  <si>
    <t>Hybrid RE Potential: 5.5GW (Wind+Solar) along with BESS (1.5 GW), S/s 
Evacuation Capacity: 4GW.
About 1.5GW: Nov'26 (Ph-IV, Part-II)
For evacuation of &gt;1.5GW (upto 4GW) : Upto Mar'27 (Ph-IV, Part-IV &amp; Ph-
V Part-1)
For application of &gt;4GW, connectvity will be provided at Barmer-II PS for 
which system is under approval (sch. Pole-I : Sep'29, Pole-2: Mar'30 ).</t>
  </si>
  <si>
    <t>Jan'30 to Jul'30 
(HVDC)</t>
  </si>
  <si>
    <t>HVDC Corridor is recently approved  for total 6 GW capacity (Expected 
Sch.Pole-1:Jan'30, Pole-2: Jul'30].</t>
  </si>
  <si>
    <t>Oct'30 to Apr'31 
(HVDC)</t>
  </si>
  <si>
    <t>HVDC Corridor is under planning for total 6 GW capacity (Expected 
Sch.Pole-1:Oct'30, Pole-2: Apr'31].</t>
  </si>
  <si>
    <t>Barmer-IV</t>
  </si>
  <si>
    <t>Jun'31 to Dec'31 
(HVDC)</t>
  </si>
  <si>
    <t>HVDC Transmission system (6GW)  for evacuation of power  from  Barmer-
IV complexes is under planning (Exp. Comm. Schedule up to Dec'31).</t>
  </si>
  <si>
    <t>Comprehensive Transmission scheme for Bikaner-IV PS (6GW) is under 
implementation (Sch. -Nov'26).</t>
  </si>
  <si>
    <t>Apr'30 to Oct'30 
(HVDC)</t>
  </si>
  <si>
    <t>HVDC Corridor is being planned for total 6 GW capacity (Expected Sch.Pole-
1:Apr'30, Pole-2: Oct'30].</t>
  </si>
  <si>
    <t>Bikaner-VI</t>
  </si>
  <si>
    <t>HVDC Transmission system (6GW)  for evacuation of power  from  Bikaner-
VI complexes is under planning (Exp. Comm. Schedule up to Dec'31).</t>
  </si>
  <si>
    <t>Connectivity at Sirohi PS will be granted upto 2 GW only. Tr. System for 
evacuation of power from Sirohi PS is under implementation  (sch. 
Mar'27).
 Beyond 2 GW in Sirohi complex,  HVDC Transmission system  for 
evacuation of power  from Jalore complex (Jalore/Sanchore/Sirohi) for 
comined RE capacity of 6GW   is under planning (HVDC) (Exp. Comm. 
Schedule up to Jun'31).</t>
  </si>
  <si>
    <t>Section
linked to Bhadla HVDC 
station &amp;
system</t>
  </si>
  <si>
    <t>Jan'29 (Pole-1) to
Jul'29 (Pole-2)</t>
  </si>
  <si>
    <t>3700MW : Jun'25 onwards (Upto Aug'26): cumulative at Ramgarh &amp; 
Bhadla-III: Raj. (Ph-III) Beyond 3700MW : Bhadla HVDC (Jan'29 Pole-1 &amp; 
Jul'29 Pole-2).</t>
  </si>
  <si>
    <t>Transmission system for evacauation of power from Bhadla-IV PS is under 
planning (6GW HVDC) (Expected Sch.Pole-1:Apr'30, Pole-2: Oct'30]). 
Connectivity beyond 6 GW at Bhadla-IV PS to be processed at Bhadla-V 
(Bhadla complex) for which  transmission system (HVDC) from Bhadla 
Complex to be evolved.</t>
  </si>
  <si>
    <t>Dec'26</t>
  </si>
  <si>
    <t>Tr. System for evacuation of power from Sirohi PS is under 
implementation  (sch. Mar'27). 
Beyond 2 GW in Merta/Nagaur complex, Tr. system (HVDC)  to be evolved</t>
  </si>
  <si>
    <t>Dec'30 to Jun'31 
(HVDC)</t>
  </si>
  <si>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</si>
  <si>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</si>
  <si>
    <t>Hybrid RE Potential: 8GW (Wind+Solar) along with BESS (3 GW), S/s 
Evacuation Capacity: 5GW.
HVDC Transmission system  for evacuation of power from Ramgarh-II PS 
for evacuation of 6GW RE power (Ramgarh-I:0.9GW, Ramgarh-II:5.1 GW)  
is under planning (Exp Comm. Schedule up to Oct'30).
Connectivity beyond 5.1 GW at Ramgarh-II PS to be processed at Ramgarh-
III PS (Ramgarh complex) for which  transmission system (HVDC) from 
Ramgarh Complex to be evolved.</t>
  </si>
  <si>
    <t>Ramgarh-III</t>
  </si>
  <si>
    <t>HVDC Transmission system (6GW)  for evacuation of power  from  
Ramgarh-III complexes is under planning (Exp. Comm. Schedule up to 
Dec'31).</t>
  </si>
  <si>
    <t>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</si>
  <si>
    <t>Beyond 2 GW in Merta/Nagaur complex, 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</si>
  <si>
    <t>Ladakh</t>
  </si>
  <si>
    <t>Pang</t>
  </si>
  <si>
    <t>Leh</t>
  </si>
  <si>
    <t>2029-30 (VSC HVDC)</t>
  </si>
  <si>
    <t>Leh - Ensviaged RE Capacity (13 GW) for connnectivity in Ladakh including 
Solar, Wind &amp; BESS. However, net evacaution capacity of HVDC tr. system 
is 5000MW. Connectivity applications in Ladakh are yet to be received.</t>
  </si>
  <si>
    <t>Mar'31 to Sep'31 
(HVDC)</t>
  </si>
  <si>
    <t>HVDC Transmission system (6GW)  for evacuation of power  from  Bhadla-
V complexes is under planning (Exp. Comm. Schedule up to Sep'31).</t>
  </si>
  <si>
    <t>Bhadla-VI</t>
  </si>
  <si>
    <t>Mar'32 to Sep'32 
(HVDC)</t>
  </si>
  <si>
    <t>HVDC Transmission system (6GW)  for evacuation of power  from  Bhadla-
VI complexes is under planning (Exp. Comm. Schedule up to Sep'32).</t>
  </si>
  <si>
    <t>NP Kunta</t>
  </si>
  <si>
    <t>1500 MW : Existing Tr. System
5th &amp; 6th ICT (Dec'25)
7th ICT required for appplications beyond 2.5 GW</t>
  </si>
  <si>
    <t>Pavagada</t>
  </si>
  <si>
    <t>2050 MW : Existing Tr. System
500 MW : Dec'25: Narendra-Pune</t>
  </si>
  <si>
    <t>Tuticorin-II</t>
  </si>
  <si>
    <t>1870 MW : Existing Tr. System
640 MW: Dec'25: Narendra-Pune  &amp; 6th ICT
438 MW : Mar'27 : 7th ICT</t>
  </si>
  <si>
    <t>1260 MW : Existing Tr. System
1493 MW:Dec'25: Narendra-Pune 
Koppal PS has been closed for all purposes and under process applications 
may not be accommodated.</t>
  </si>
  <si>
    <t>Karur</t>
  </si>
  <si>
    <t>Phase-1</t>
  </si>
  <si>
    <t>100 MW : Existing Tr. System
818 MW: Dec'25: Narendra-Pune</t>
  </si>
  <si>
    <t>460 MW : Existing Tr. System
1923 MW: Dec'25: Narendra-Pune</t>
  </si>
  <si>
    <t>Kurnool-III</t>
  </si>
  <si>
    <t>Kurnool-III PS commissioned, entire system expected by Sept'25
Kurnool-III PS has been closed for all purposes.</t>
  </si>
  <si>
    <t>Phase-II</t>
  </si>
  <si>
    <t>Feb'26</t>
  </si>
  <si>
    <t>Augmentation of ICTs and transmission line  is required to accommodate 
under process applications 
Entire quantum of the under process applicatiuon cannot be accomadetd</t>
  </si>
  <si>
    <t>Koppal-II/ Gadag-II Complex</t>
  </si>
  <si>
    <t>37a</t>
  </si>
  <si>
    <t>37b</t>
  </si>
  <si>
    <t>Dec'25 
PSP  not considered for determination of margins.</t>
  </si>
  <si>
    <t>Ananthapuram</t>
  </si>
  <si>
    <t>Sept'25</t>
  </si>
  <si>
    <t>Sept'25 
Ananthapuram PS has been closed for all purposes</t>
  </si>
  <si>
    <t>expansion 
with ICTs</t>
  </si>
  <si>
    <t>800 MW : Sep'25 : 7th ICT</t>
  </si>
  <si>
    <t>Davangere Complex</t>
  </si>
  <si>
    <t>Beyond Dec-25</t>
  </si>
  <si>
    <t>Mar'27</t>
  </si>
  <si>
    <t>Mar'27  to Sep'27 (assuming SPV transfer by Mar'25)</t>
  </si>
  <si>
    <t>40a</t>
  </si>
  <si>
    <t>Davangere</t>
  </si>
  <si>
    <t>2000 MW :Mar'27
Balance tr. System under bidding 
All under process applications may not be accommodated.</t>
  </si>
  <si>
    <t>40b</t>
  </si>
  <si>
    <t>Sep'27</t>
  </si>
  <si>
    <t>1500 MW :Sep'27
Balance tr. System under bidding 
All under process applications may not be accommodated.</t>
  </si>
  <si>
    <t>Jan'27</t>
  </si>
  <si>
    <t>2000 MW :Jan'27
All under process applications may not be accommodated.</t>
  </si>
  <si>
    <t>Bidar</t>
  </si>
  <si>
    <t>2500 MW : Feb'26
1000 MW: Feb'27 (Augmentation of 3x500 MVA ICTs (6th - 8th) &amp; 1x1500 
MVA ICT(4th))
Transmission system for application beyond  3.5 GW has been put-on hold by 
NCT</t>
  </si>
  <si>
    <t>Ananthapuram/ Kurnool complex</t>
  </si>
  <si>
    <t>Progressivly from Mar'27 to Apr'27</t>
  </si>
  <si>
    <t>43a</t>
  </si>
  <si>
    <t>Expansion 
with ICTs</t>
  </si>
  <si>
    <t>• PSP  not considered for determination of margins
•  Kurnool-III PS has been closed for all purposes. 
All under process applications may not be accommodated.</t>
  </si>
  <si>
    <t>43b</t>
  </si>
  <si>
    <t>Ananthapuram-II</t>
  </si>
  <si>
    <t>Mar'27 (Ph-I)
Mar'28 (Ph-II)</t>
  </si>
  <si>
    <t>Mar'27 (Phase-1) 
Progressively from Sept'27 to Mar'28  (Phase-2)
All under process applications may not be accommodated.</t>
  </si>
  <si>
    <t>43c</t>
  </si>
  <si>
    <t>Mar'27 (Phase-1)
Progressively from Sept'27 to Mar'28  (Phase-2)</t>
  </si>
  <si>
    <t>Sep'26</t>
  </si>
  <si>
    <t>1500 MW : Sep'26
All under process applications may not be accommodated.</t>
  </si>
  <si>
    <t>Nizamabad Complex</t>
  </si>
  <si>
    <t>Locations for RE potential declared in Telanagana under review by 
MNRE/SECI. Transmisison system put on-hold by NCT till finalization of same.</t>
  </si>
  <si>
    <t>45a</t>
  </si>
  <si>
    <t>45b</t>
  </si>
  <si>
    <t>45c</t>
  </si>
  <si>
    <t>Avairakulam</t>
  </si>
  <si>
    <t>Off 
shore</t>
  </si>
  <si>
    <t>Dec'30</t>
  </si>
  <si>
    <t>Mar'2030</t>
  </si>
  <si>
    <t>May'26</t>
  </si>
  <si>
    <t>8th, 9th &amp; 10th ICTs : May'26
Under process applications may not be accommodated.</t>
  </si>
  <si>
    <t>Ananthapuram-III</t>
  </si>
  <si>
    <t>Sep'28</t>
  </si>
  <si>
    <t>Ph-I (4.5 GW) Sep'28</t>
  </si>
  <si>
    <t>Dec'28</t>
  </si>
  <si>
    <t>Bhuj complex</t>
  </si>
  <si>
    <t>51a</t>
  </si>
  <si>
    <t>Bhuj</t>
  </si>
  <si>
    <t>Existing Tr. System.</t>
  </si>
  <si>
    <t>51b</t>
  </si>
  <si>
    <t>Bhuj-II</t>
  </si>
  <si>
    <t>Radhanesda</t>
  </si>
  <si>
    <t>Jam Khambhaliya</t>
  </si>
  <si>
    <t>Kallam</t>
  </si>
  <si>
    <t>Ph-I</t>
  </si>
  <si>
    <t>1GW: Commissioned</t>
  </si>
  <si>
    <t>Pachora</t>
  </si>
  <si>
    <t>1.5GW: Commissioned</t>
  </si>
  <si>
    <t>Neemuch</t>
  </si>
  <si>
    <t>Solapur</t>
  </si>
  <si>
    <t>Sep-24: Under Scope of applicant (ReNew). 
NO FURTHER MARGINS LEFT BEYOND 2GW. Application for 237MW needs 
to be deliberated.
Connectivity of  (100+76+48MW) of Renew has been revoked under non-
compliance of 24.6 &amp; the matter is presently subjudice.</t>
  </si>
  <si>
    <t>Khavda I</t>
  </si>
  <si>
    <t>Sec I</t>
  </si>
  <si>
    <t>3GW: Commissioned</t>
  </si>
  <si>
    <t>Khavda complex</t>
  </si>
  <si>
    <t>Between Jul-26 to Jun'25</t>
  </si>
  <si>
    <t>59a</t>
  </si>
  <si>
    <t>Sec II</t>
  </si>
  <si>
    <t>Sec-II: Jan'25</t>
  </si>
  <si>
    <t>•Ph-1: 3GW -  KPS1 (Comm) / KPS2: Jan'25(SCOD)/ Sep'25 (ACOD)
•Ph-2: 5GW- Mar'25 (SCOD)/Nov'25 (ACOD)
•Ph-3: 7GW- Dec'25 (SCOD)/ Jun'26 (ACOD)</t>
  </si>
  <si>
    <t>59b</t>
  </si>
  <si>
    <t>Khavda II</t>
  </si>
  <si>
    <t>Sec-I &amp; II</t>
  </si>
  <si>
    <t>Sec-I &amp; II: Jan'25</t>
  </si>
  <si>
    <t>59c</t>
  </si>
  <si>
    <t>Khvada III</t>
  </si>
  <si>
    <t>Sec-I</t>
  </si>
  <si>
    <t>Jan'25</t>
  </si>
  <si>
    <t>Chhatarpur</t>
  </si>
  <si>
    <t>Scheme dropped.</t>
  </si>
  <si>
    <t>Scheme has been dropped as decided in NCT meeting &amp; to be denotified by 
MoP.</t>
  </si>
  <si>
    <t>Ph-II</t>
  </si>
  <si>
    <t>Dec-24 (1GW)</t>
  </si>
  <si>
    <t>1GW ICTs: Dec-24 &amp; System for 2.25GW: Under Implementation-Oct-25 
(exptd)
148.75MW Connectivity granted to Anupavan has been revoked under 11A. 
Further, 200MW connectivity of Serentica &amp; 117MW of Renew(MHP) has 
been revoked under 24.6, however, matter is presently subjudice.</t>
  </si>
  <si>
    <t>•Ph-1: 3GW -  Completed in Feb-24. However, 2GW at KPS2 using Ph-I 
system would also require KPS2 S/s (Jan'25)
•Ph-2: 5GW- Mar'25 (SCOD) 
•Ph-3: 7GW- Dec'25 (SCOD)
•Ph-4: 7GW-Nov'26 (SCOD)
•Ph-V:  LCC Bipole-I:Nov'28) &amp; LCC Bipole-II: May'29 (SCOD) / VSC 48 
months from SPV transfer</t>
  </si>
  <si>
    <t>62a</t>
  </si>
  <si>
    <t>Sec-I ICT: Jul'25</t>
  </si>
  <si>
    <t>Total transformation capacity at Khavda complex  (considering N-1 on each 
section):
KPS1 - Sec-I: 4.5GW ; Sec-2: 6GW
Total KPS1: 10.5GW
KPS2 - Sec-I: 6GW ; Sec-2: 4.5GW
Total KPS2: 10.5GW
KPS3 - Sec-I: 4.5GW ; Sec-2: 4.5GW</t>
  </si>
  <si>
    <t>62b</t>
  </si>
  <si>
    <t>Sec-I &amp; II ICTs : Feb'26</t>
  </si>
  <si>
    <t>62c</t>
  </si>
  <si>
    <t>Sec-I ICT : Jul'25</t>
  </si>
  <si>
    <t>Total KPS3: 9GW
Total (KPS1, KPS2 &amp; KPS3): 30GW</t>
  </si>
  <si>
    <t>Jul'25</t>
  </si>
  <si>
    <t>9th ICT at Bhuj PS shall be required for applications beyond 3500MW
NO FURTHER MARGINS ARE NOW AVAILABLE. Applications reeived 
beyond margins.</t>
  </si>
  <si>
    <t>Lakadia</t>
  </si>
  <si>
    <t>Oct'25</t>
  </si>
  <si>
    <t>Oct-25: Under Implementation</t>
  </si>
  <si>
    <t>Dec'25 (Bay)</t>
  </si>
  <si>
    <t>400kV bay under construction (suitable for 1000MW evacuation): Dec'25</t>
  </si>
  <si>
    <t>66a</t>
  </si>
  <si>
    <t>Sec-I ICT: 2026-27</t>
  </si>
  <si>
    <t>Total transformation capacity at Khavda complex  (considering N-1 on each 
section):
KPS1 - Sec-I: 6GW ; Sec-2: 4.5GW
Total KPS1: 10.5GW
KPS2 - Sec-I: 6GW ; Sec-2: 4.5GW
Total KPS2: 10.5GW
KPS3 - Sec-I: 4.5GW ; Sec-2: 4.5GW
Total KPS3: 9GW
Total (KPS1, KPS2 &amp; KPS3): 30GW
Under Process Application received for 1250MW at KPS2 is beyond Phase-
VII system.</t>
  </si>
  <si>
    <t>66b</t>
  </si>
  <si>
    <t>Sec-I ICT:  2026-27</t>
  </si>
  <si>
    <t>66c</t>
  </si>
  <si>
    <t>Sec-II ICTs: Jun-26 
(4500) &amp; 
2026-27 (1500)</t>
  </si>
  <si>
    <t>66d</t>
  </si>
  <si>
    <t>Khavda IV</t>
  </si>
  <si>
    <t>2027-28</t>
  </si>
  <si>
    <t>The Khavda Phase-I to Phase-VII shall be required for enabling evacuation of 
power upto 41.5GW from Khavda area out of which Phase-VI (5.5GW) &amp; 
Phase-VII (6GW HVDC) are under approval stage.</t>
  </si>
  <si>
    <t>66e</t>
  </si>
  <si>
    <t>Khavda V</t>
  </si>
  <si>
    <t>The Khavda Phase-I to Phase-VII shall be required for enabling evacuation of 
power upto 41.5GW from Khavda area out of which Phase-VI (5.5GW) &amp; 
Phase-VII (6GW HVDC) are under approval stage.
Under Process Application received for 350MW at KPS5 is beyond Phase-
VII system.</t>
  </si>
  <si>
    <t>1.5GW</t>
  </si>
  <si>
    <t>Mar-26 (exptd)</t>
  </si>
  <si>
    <t>Solapur Ph-I (1.5GW): Mar-26: Under Implementation
Solapur Ph-II (2GW): On hold pending potential declaration by MNRE
For balance applications received at Solapur PS beyond 3.5GW, additional 
System / Pooling Station may be needed.
200MW margin is available at 400kV which will be allocated to applicants 
in order of priority of applications at Solapur PS.</t>
  </si>
  <si>
    <t>Feb-26 (exptd)</t>
  </si>
  <si>
    <t>Rajgarh Ph-I(1.5GW): Commissioned, Ph-II (1GW): Under Implementation &amp; 
Ph-III (1.5GW): Under Bidding
NO FURTHER MARGINS ARE AVAILABLE (BEYOND 4000MW AT PACHORA 
PS).</t>
  </si>
  <si>
    <t>Mandsaur</t>
  </si>
  <si>
    <t>Aug-26 (exptd)</t>
  </si>
  <si>
    <t>Aug-26 : Under Implementation
With grant of connectivity under GNA to PSP at 400kV level (1512MW), it 
is considered at PSP shall not inject power under high RE period and hence 
not considered in given table
ICT Augmentation (765/400kV as well as 400/220kV ICTs) shall be required 
at Mandsaur for under process applications, as applicable.
NO FURTHER MARGINS ARE AVAILABLE (BEYOND 4500MW AT MANDSAUR 
PS). Applications received beyond 4500MW would need to be deliberated.</t>
  </si>
  <si>
    <t>Dhule</t>
  </si>
  <si>
    <t>Feb-26 (SCOD): Under  Implementation. NO FURTHER MARGINS ARE 
AVAILABLE (BEYOND 2000MW. 
Applications received beyond 2000MW would require additional Tr. System 
to be planned.</t>
  </si>
  <si>
    <t>Jamnagar</t>
  </si>
  <si>
    <t>Sep-26 (extd). 
400/220kV ICT 
Augmentation under 
planning</t>
  </si>
  <si>
    <t>765/400kV Jamnagar S/s is presently under tendering with time-line of 24 
months from SPV transfer. 
ICT Augmentation shall be required for injection at 220kV level.
Applications received beyond 1000MW would  also require additional Tr. 
System to be planned.</t>
  </si>
  <si>
    <t>Lakadia-I</t>
  </si>
  <si>
    <t>Total 3.5GW Capacity planned at Lakadia S/s and NO FURTHER MARGINS 
EXIST AT 220kV LEVEL OF LAKADIA S/s</t>
  </si>
  <si>
    <t>Jam Khambhaliya-II / Kalyanpur</t>
  </si>
  <si>
    <t>Substation is under planning for 4.5GW in first phase.</t>
  </si>
  <si>
    <t>Raghanesda</t>
  </si>
  <si>
    <t>GIS</t>
  </si>
  <si>
    <t>Oct-27
(SCOD)</t>
  </si>
  <si>
    <t>Substation is under implementation.
NO FURTHER MARGINS ARE NOW AVAILABLE IN UNDER BIDDING SYSTEM. 
After 3.5GW, Augmentation shall be required for RE beyond 3.5GW  at 
Raghanesda PS. Applications are received beyond Substation capacity.</t>
  </si>
  <si>
    <t>0.5GW: Nov'26 &amp; 
1.5GW: Dec'26</t>
  </si>
  <si>
    <t>NO FURTHER MARGINS ARE NOW AVAILABLE.
For applications received beyond 2000MW, augmentation needs to be 
taken up. 
500MW (350+50+100MW) Connectivity of Acme has been revoked based 
on applicants request. Further, 300MW Connectivity of Inox has been 
revoked under non-compliance of 24.6. The margin would be allocated to 
applicants after reallocation exercise in order of priority at Bhuj complex.</t>
  </si>
  <si>
    <t>Augmentation of 400/220kV ICTs is required.  Margins are shown 
considering 9th ICT at JK PS as confirmed by JKTL. 
NO FURTHER MARGINS ARE NOW AVAILABLE.</t>
  </si>
  <si>
    <t>Ishanagar</t>
  </si>
  <si>
    <t>Under Implementation. No further margins available at the substation.</t>
  </si>
  <si>
    <t>Kurawar</t>
  </si>
  <si>
    <t>Under Implementation</t>
  </si>
  <si>
    <t>Neemuch Ph-I(1GW): Commissioned, Ph-II (1GW): Under Bidding.
NO FURTHER MARGINS ARE AVAILABLE (BEYOND 2000MW AT NEEMUCH 
PS).</t>
  </si>
  <si>
    <t>Lakadia-II</t>
  </si>
  <si>
    <t>Near Chitrod</t>
  </si>
  <si>
    <t>Substation is uner planning for 7.5GW. Applications received beyond 7.5GW 
cannot be accomodated at this substation.</t>
  </si>
  <si>
    <t>2026-27</t>
  </si>
  <si>
    <t>Margin of 76.4MW is being requested by pending applicants at Bhuj-II PS. 
Hence, no margin is left. Further, 93.5MW Connectivity of Netra &amp; 2.1MW of 
Avikiran has been revoked under non-compliance of 24.6. The margin would 
be allocated to applicants in order of priority after reallocation exercise at 
Bhuj complex.</t>
  </si>
  <si>
    <t>Morena</t>
  </si>
  <si>
    <t>Ph-I (2.5GW) under bidding stage. For applications beyond 2.5GW, additional 
transmission system is being planned.</t>
  </si>
  <si>
    <t>Mahuva Offshore</t>
  </si>
  <si>
    <t>Scheme under implementation by POWERGRID with SCOD of Mar-29</t>
  </si>
  <si>
    <t>Bokajan</t>
  </si>
  <si>
    <t>Dec-26 (exptd)</t>
  </si>
  <si>
    <t>Name of Station</t>
  </si>
  <si>
    <t>Capacity (MVA)</t>
  </si>
  <si>
    <t>Capacity Allocated (MW)</t>
  </si>
  <si>
    <t>Margin Existing 220kV (MW)</t>
  </si>
  <si>
    <t>Margin Existing 400kV (MW)</t>
  </si>
  <si>
    <t>Line Bays 220kV</t>
  </si>
  <si>
    <t>Line Bays 400kV</t>
  </si>
  <si>
    <t>Margin with ICT 220kV (MW)</t>
  </si>
  <si>
    <t>Margin with ICT 400kV (MW)</t>
  </si>
  <si>
    <t>Line Bays with ICT 220kV</t>
  </si>
  <si>
    <t>Line Bays with ICT 400kV</t>
  </si>
  <si>
    <t>No. of Transformers Required</t>
  </si>
  <si>
    <t>6x1500MVA, 765/400kV</t>
  </si>
  <si>
    <t>Applications beyond 300MW require additional System 
and are under deliberation</t>
  </si>
  <si>
    <t>Halvad/Surendranagar area</t>
  </si>
  <si>
    <t>Applications for 820MW received in Halvad area &amp; 
530MW received in Surendranagar area which are under 
deliberations.</t>
  </si>
  <si>
    <t>Aurangabad</t>
  </si>
  <si>
    <t>2x1500MVA, 765/400kV 
2x315MVA, 400/220kV</t>
  </si>
  <si>
    <t>Overloading in 220kV downstream network.</t>
  </si>
  <si>
    <t>Kolhapur</t>
  </si>
  <si>
    <t>400kV Switching Station</t>
  </si>
  <si>
    <t>Overloading observed in 400kV Kolhapur (PG)- 
Kolhapur(MSETCL) D/c line.</t>
  </si>
  <si>
    <t>2x500MVA, 400/220kV</t>
  </si>
  <si>
    <t>300MW capacity has been allocated at Parli (PG) S/s. 
Overloading in 220kV downstream &amp; Parli  400kV 
network.</t>
  </si>
  <si>
    <t>Khandwa</t>
  </si>
  <si>
    <t>2x315+1x500MVA, 400/220kV</t>
  </si>
  <si>
    <t>300MW Stage-II connectivity &amp; 300MW LTA from Masaya 
Solar at Khandwa has also been granted.
Overloading in 220kV downstream network.</t>
  </si>
  <si>
    <t>Indore</t>
  </si>
  <si>
    <t>2x500MVA, 400/220kV + (1x500MVA 
with sectionalisation at 220kV for RE 
injection)</t>
  </si>
  <si>
    <t>324.4MW LTA has been granted on 1x500MVA with 
sectionalisation at 220kV for RE injection &amp; 900 MW 
(600+150+150) has been granted on 400kV bay.</t>
  </si>
  <si>
    <t>Jabalpur</t>
  </si>
  <si>
    <t>2x1500MVA 765/400kV</t>
  </si>
  <si>
    <t>765/400kV ICT overloading.</t>
  </si>
  <si>
    <t>Rajgarh</t>
  </si>
  <si>
    <t>2x315MVA, 400/220kV+ (2x500MVA 
with sectionalisation at 220kV for RE 
injection)</t>
  </si>
  <si>
    <t>Margins at 220kV bay of Srpng: 298.24MW has been 
granted / agreed for grant to M/s Sprng. Overloading in 
220kV downstream network.
Margins at 400/220kV ICT-III&amp; IV: 593.6MW has been 
granted/agreed at extended 220kV bus of Rajgarh S/s  
through addl. 400/220kV, 500MVA ICT(s) for RE injection.</t>
  </si>
  <si>
    <t>Karera</t>
  </si>
  <si>
    <t>2x1500 MVA, 765/400 kV, 2x500 MVA, 
400/220 kV S/s</t>
  </si>
  <si>
    <t>Sidhi area</t>
  </si>
  <si>
    <t>No ISTS Substation exists near Sidhi</t>
  </si>
  <si>
    <t>Application received for 300MW (requested through LILO 
of Vindhyachal - Satna line). Studies are underway.</t>
  </si>
  <si>
    <t>Chhattisgarh</t>
  </si>
  <si>
    <t>Dharamjaygarh</t>
  </si>
  <si>
    <t>765/400kV ICT overloading / Fault level issues</t>
  </si>
  <si>
    <t>Champa</t>
  </si>
  <si>
    <t>6x1500MVA 765/400kV</t>
  </si>
  <si>
    <t>Bilaspur</t>
  </si>
  <si>
    <t>3x1500MVA 765/400kV</t>
  </si>
  <si>
    <t>2X1500 MVA, 765/400 kV</t>
  </si>
  <si>
    <t>2x315 MVA, 400/220 kV + 1x500 MVA, 
400/220 kV</t>
  </si>
  <si>
    <t>Kerala</t>
  </si>
  <si>
    <t>Palakkad</t>
  </si>
  <si>
    <t>2X315 MVA + 1X500 MVA, 400/230 kV</t>
  </si>
  <si>
    <t>Pugalur(Existing) has been closed for all purpose regarding 
grant of Connectivity.</t>
  </si>
  <si>
    <t>Malekottaiyur</t>
  </si>
  <si>
    <t>NIL</t>
  </si>
  <si>
    <t>Nagapattinam</t>
  </si>
  <si>
    <t>Charged at 400 kV</t>
  </si>
  <si>
    <t>NLC TS-II</t>
  </si>
  <si>
    <t>2x250+1x315</t>
  </si>
  <si>
    <t>Overloading at 230 kV network</t>
  </si>
  <si>
    <t>Chittorgarh</t>
  </si>
  <si>
    <t>765/400kV : 2x1500MVA</t>
  </si>
  <si>
    <t>Bassi</t>
  </si>
  <si>
    <t>400/220 kV : 2x315MVA +1x500MVA</t>
  </si>
  <si>
    <t>220kV overloading</t>
  </si>
  <si>
    <t>Bhiwadi</t>
  </si>
  <si>
    <t>400/220 kV : 3x315MVA</t>
  </si>
  <si>
    <t>Kankroli</t>
  </si>
  <si>
    <t>Kota</t>
  </si>
  <si>
    <t>400/220 kV : 2x315MVA</t>
  </si>
  <si>
    <t>Bhinmal</t>
  </si>
  <si>
    <t>400/220 kV : 2x315MVA+1x315 MVA 
UC</t>
  </si>
  <si>
    <t>Neemarana</t>
  </si>
  <si>
    <t>400/220 kV : 1x315MVA +1x500MVA</t>
  </si>
  <si>
    <t>Sikar</t>
  </si>
  <si>
    <t>Jaipur</t>
  </si>
  <si>
    <t>400/220 kV : 2x500MVA</t>
  </si>
  <si>
    <t>Kotputli</t>
  </si>
  <si>
    <t>400/220 kV : 2x315MVA+1X500MVA 
(Planned)</t>
  </si>
  <si>
    <t>Haryana</t>
  </si>
  <si>
    <t>Kaithal</t>
  </si>
  <si>
    <t>400/220 kV : 3X315MVA</t>
  </si>
  <si>
    <t>Bahadurgarh</t>
  </si>
  <si>
    <t>400/220 kV : 315MVA 
+500MVA+500MVA (UC)</t>
  </si>
  <si>
    <t>Manesar</t>
  </si>
  <si>
    <t>400/220 kV : 2X500MVA</t>
  </si>
  <si>
    <t>400/220kv ICT over loading</t>
  </si>
  <si>
    <t>Uttar Pradesh</t>
  </si>
  <si>
    <t>Kanpur</t>
  </si>
  <si>
    <t>765/400 kV : 2x1500MVA+1x1500</t>
  </si>
  <si>
    <t>220kV Not available</t>
  </si>
  <si>
    <t>Fatehpur</t>
  </si>
  <si>
    <t>765/400kV : 2x1500MVA; 400/220 kV :  
2X315MVA</t>
  </si>
  <si>
    <t>Lucknow</t>
  </si>
  <si>
    <t>765/400 kV : 2x1500MVA</t>
  </si>
  <si>
    <t>Balia</t>
  </si>
  <si>
    <t>220kV Not available.</t>
  </si>
  <si>
    <t>Bareilly</t>
  </si>
  <si>
    <t>Odisha</t>
  </si>
  <si>
    <t>Jeypore</t>
  </si>
  <si>
    <t>400/220kV: 2x630MVA</t>
  </si>
  <si>
    <t>ER</t>
  </si>
  <si>
    <t>Keonjhar</t>
  </si>
  <si>
    <t>400/220kV: 2x315MVA</t>
  </si>
  <si>
    <t>Pandiabil</t>
  </si>
  <si>
    <t>400/220kV: 3x500MVA</t>
  </si>
  <si>
    <t>Rengali</t>
  </si>
  <si>
    <t>Angul</t>
  </si>
  <si>
    <t>765/400: 4x1500MVA</t>
  </si>
  <si>
    <t>Baripada</t>
  </si>
  <si>
    <t>400/220/132: 2x315MVA + 1x500MVA 
+ 2x160MVA</t>
  </si>
  <si>
    <t>Bolangir</t>
  </si>
  <si>
    <t>Indravati</t>
  </si>
  <si>
    <t>400/220kV: 1x315MVA</t>
  </si>
  <si>
    <t>Rourkela</t>
  </si>
  <si>
    <t>400/220kV: 4x315MVA</t>
  </si>
  <si>
    <t>Sundargarh A</t>
  </si>
  <si>
    <t>765/400: 2x1500MVA</t>
  </si>
  <si>
    <t>Sundargarh B</t>
  </si>
  <si>
    <t>Paradeep</t>
  </si>
  <si>
    <t>Gopalpur</t>
  </si>
  <si>
    <t>Jharkhand</t>
  </si>
  <si>
    <t>Chaibasa</t>
  </si>
  <si>
    <t>Daltonganj</t>
  </si>
  <si>
    <t>Ranchi</t>
  </si>
  <si>
    <t>400/220kV: 2x315MVA + 1x500MVA</t>
  </si>
  <si>
    <t>765/400kV: 2x1500MVA</t>
  </si>
  <si>
    <t>Chandwa</t>
  </si>
  <si>
    <t>400kV switching</t>
  </si>
  <si>
    <t>Dhanbad</t>
  </si>
  <si>
    <t>400/200kV: 2x500MVA</t>
  </si>
  <si>
    <t>Bihar</t>
  </si>
  <si>
    <t>Banka</t>
  </si>
  <si>
    <t>400/132kV: 2x200MVA + 1x315MVA  
400/220kV: 2x500MVA</t>
  </si>
  <si>
    <t>600+700</t>
  </si>
  <si>
    <t>100MW at 132kV level in the existing system and 400MW 
at 220kV level with the implementation of "Augmentation 
of 400/220kV, 2x500MVA ICT at Banka" Scheme expected 
by Oct 2024</t>
  </si>
  <si>
    <t>Lakhisarai</t>
  </si>
  <si>
    <t>400/132kV: 2x200MVA + 1x315MVA</t>
  </si>
  <si>
    <t>132kV level</t>
  </si>
  <si>
    <t>Motihari</t>
  </si>
  <si>
    <t>Chandauti</t>
  </si>
  <si>
    <t>Muzaffarpur</t>
  </si>
  <si>
    <t>400/220kV: 2x315MVA + 2x500MVA</t>
  </si>
  <si>
    <t>line corridor  available for 2 lines</t>
  </si>
  <si>
    <t>Saharsa</t>
  </si>
  <si>
    <t>400/220kV: 2x500MVA</t>
  </si>
  <si>
    <t>Sitamarhi</t>
  </si>
  <si>
    <t>800+200</t>
  </si>
  <si>
    <t>Gaya</t>
  </si>
  <si>
    <t>400/220kV: 2x500MVA + 1x315MVA</t>
  </si>
  <si>
    <t>2000+1000</t>
  </si>
  <si>
    <t>Darbhanga</t>
  </si>
  <si>
    <t>Kishanganj</t>
  </si>
  <si>
    <t>New Purnea</t>
  </si>
  <si>
    <t>Patna</t>
  </si>
  <si>
    <t>Purnea</t>
  </si>
  <si>
    <t>220/132kV: 3x160MVA</t>
  </si>
  <si>
    <t>Sasaram</t>
  </si>
  <si>
    <t>West Bengal</t>
  </si>
  <si>
    <t>Durgapur-B</t>
  </si>
  <si>
    <t>400/220kV: 3x315MVA</t>
  </si>
  <si>
    <t>220kV overloaded in present case under N-1.</t>
  </si>
  <si>
    <t>Maithon-B</t>
  </si>
  <si>
    <t>220kV overloaded in Base case (Maithon B - Asansol).</t>
  </si>
  <si>
    <t>Subhasgram</t>
  </si>
  <si>
    <t>220kV overloaded in present case under N-1 
(Subhasgram).</t>
  </si>
  <si>
    <t>Jeerat-New</t>
  </si>
  <si>
    <t>400/220kV ICT overloaded in present case under N-1</t>
  </si>
  <si>
    <t>Medinipur</t>
  </si>
  <si>
    <t>400/220kV ICT overloaded in present case</t>
  </si>
  <si>
    <t>Alipurduar</t>
  </si>
  <si>
    <t>Baharampur</t>
  </si>
  <si>
    <t>Rajarhat</t>
  </si>
  <si>
    <t>Birpara</t>
  </si>
  <si>
    <t>220/132kV: 2x160MVA</t>
  </si>
  <si>
    <t>Dalkhola</t>
  </si>
  <si>
    <t>220kV switching</t>
  </si>
  <si>
    <t>Durgapur-A</t>
  </si>
  <si>
    <t>Maithon-A</t>
  </si>
  <si>
    <t>Farakka T</t>
  </si>
  <si>
    <t>Malda</t>
  </si>
  <si>
    <t>New Siliguri</t>
  </si>
  <si>
    <t>132kV overloaded in present case under N-1 (Siliguri).</t>
  </si>
  <si>
    <t>Siliguri</t>
  </si>
  <si>
    <t>S.No.</t>
  </si>
  <si>
    <t>Voltage level (kV)</t>
  </si>
  <si>
    <t>Existing Capacity (MVA)</t>
  </si>
  <si>
    <t>Under Implementation Capacity (MVA)</t>
  </si>
  <si>
    <t>Planned Capacity (MVA)</t>
  </si>
  <si>
    <t>Bhachau</t>
  </si>
  <si>
    <t>Khavda-II</t>
  </si>
  <si>
    <t>Banaskantha</t>
  </si>
  <si>
    <t>Raipur</t>
  </si>
  <si>
    <t>Bhadla- II</t>
  </si>
  <si>
    <t>Bhadla- III</t>
  </si>
  <si>
    <t>Bikaner- III</t>
  </si>
  <si>
    <t>Element Code</t>
  </si>
  <si>
    <t>Inter/Intra Tx. Element</t>
  </si>
  <si>
    <t>Transmission Scope</t>
  </si>
  <si>
    <t>MVA</t>
  </si>
  <si>
    <t>Status</t>
  </si>
  <si>
    <t>Approval of Elements in which NCT</t>
  </si>
  <si>
    <t>Mode (TBCB/RTM)</t>
  </si>
  <si>
    <t>Tender Issuing Authority</t>
  </si>
  <si>
    <t>Date of tender issuance</t>
  </si>
  <si>
    <t xml:space="preserve"> Date of Bid Submission</t>
  </si>
  <si>
    <t>Execution Timeline</t>
  </si>
  <si>
    <t>Tentative SCOD</t>
  </si>
  <si>
    <t>Awarded To</t>
  </si>
  <si>
    <t>SPV Transfer Date</t>
  </si>
  <si>
    <t>Physical Progress S/s of Tx. Line</t>
  </si>
  <si>
    <t>Physical Progress  Substation</t>
  </si>
  <si>
    <t>Original SCOD</t>
  </si>
  <si>
    <t>Anticipated SCOD</t>
  </si>
  <si>
    <t>Length</t>
  </si>
  <si>
    <t>Location</t>
  </si>
  <si>
    <t>Foundation</t>
  </si>
  <si>
    <t>Erection</t>
  </si>
  <si>
    <t>Stringing</t>
  </si>
  <si>
    <t>Foundation (%)</t>
  </si>
  <si>
    <t>Erection (%)</t>
  </si>
  <si>
    <t>Stringing (%)</t>
  </si>
  <si>
    <t>Civil Work (%)</t>
  </si>
  <si>
    <t>Equipment Received (%)</t>
  </si>
  <si>
    <t>Equipment Erected (%)</t>
  </si>
  <si>
    <t>Data Scoure (Sl. No.(s)1, 2, 5, 6, 10b, 10c, 10d, 10e,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</si>
</sst>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theme="1"/>
      <name val="Adani Regular"/>
      <family val="2"/>
    </font>
    <font>
      <sz val="10"/>
      <color theme="1"/>
      <name val="Adani Regular"/>
      <family val="2"/>
    </font>
    <font>
      <b/>
      <sz val="12"/>
      <color theme="1"/>
      <name val="Adani Regular"/>
    </font>
    <font>
      <b/>
      <sz val="12"/>
      <color theme="1"/>
      <name val="Adani Regular"/>
      <family val="2"/>
    </font>
    <font>
      <b/>
      <sz val="10"/>
      <color theme="1"/>
      <name val="Adani Regular"/>
    </font>
    <font>
      <u/>
      <sz val="10"/>
      <color theme="10"/>
      <name val="Adani Regular"/>
      <family val="2"/>
    </font>
    <font>
      <b/>
      <sz val="11"/>
      <color rgb="FFFFFFFF"/>
      <name val="Adani Regular"/>
      <family val="2"/>
      <charset val="1"/>
    </font>
    <font>
      <b/>
      <sz val="10"/>
      <color rgb="FFFFFFFF"/>
      <name val="Adani Regular"/>
      <family val="2"/>
      <charset val="1"/>
    </font>
    <font>
      <sz val="9"/>
      <color theme="1"/>
      <name val="Adani Regular"/>
      <family val="2"/>
      <charset val="1"/>
    </font>
    <font>
      <b/>
      <sz val="10"/>
      <name val="Adani Regular"/>
    </font>
  </fonts>
  <fills count="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9" fontId="1" fillId="0" borderId="0"/>
    <xf numFmtId="0" fontId="5" fillId="0" borderId="0"/>
  </cellStyleXfs>
  <cellXfs count="42">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4" xfId="0" applyFont="1" applyFill="1" applyBorder="1" applyAlignment="1">
      <alignment horizontal="centerContinuous" vertical="center" wrapText="1"/>
    </xf>
    <xf numFmtId="0" fontId="2" fillId="2" borderId="1" xfId="0" applyFont="1" applyFill="1" applyBorder="1" applyAlignment="1">
      <alignment horizontal="centerContinuous" vertical="center" wrapText="1"/>
    </xf>
    <xf numFmtId="0" fontId="3"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Continuous" vertical="distributed" wrapText="1"/>
    </xf>
    <xf numFmtId="0" fontId="2" fillId="2" borderId="2" xfId="0" applyFont="1" applyFill="1" applyBorder="1" applyAlignment="1">
      <alignment horizontal="centerContinuous" vertical="distributed"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0" borderId="0" xfId="0" applyAlignment="1">
      <alignment wrapText="1"/>
    </xf>
    <xf numFmtId="0" fontId="0" fillId="4" borderId="4" xfId="0" applyFill="1" applyBorder="1"/>
    <xf numFmtId="0" fontId="0" fillId="0" borderId="4" xfId="0" applyBorder="1"/>
    <xf numFmtId="14" fontId="0" fillId="0" borderId="4" xfId="0" applyNumberFormat="1" applyBorder="1"/>
    <xf numFmtId="9" fontId="0" fillId="0" borderId="4" xfId="1" applyFont="1" applyBorder="1"/>
    <xf numFmtId="0" fontId="2" fillId="2" borderId="2" xfId="0" applyFont="1" applyFill="1" applyBorder="1" applyAlignment="1">
      <alignment horizontal="centerContinuous" vertical="center" wrapText="1"/>
    </xf>
    <xf numFmtId="0" fontId="2" fillId="2" borderId="6" xfId="0" applyFont="1" applyFill="1" applyBorder="1" applyAlignment="1">
      <alignment horizontal="centerContinuous" vertical="center"/>
    </xf>
    <xf numFmtId="0" fontId="2" fillId="2" borderId="7" xfId="0" applyFont="1" applyFill="1" applyBorder="1" applyAlignment="1">
      <alignment horizontal="centerContinuous" vertical="center"/>
    </xf>
    <xf numFmtId="0" fontId="2" fillId="2" borderId="8" xfId="0" applyFont="1" applyFill="1" applyBorder="1" applyAlignment="1">
      <alignment horizontal="centerContinuous" vertical="center"/>
    </xf>
    <xf numFmtId="0" fontId="7" fillId="5" borderId="9" xfId="0" applyFont="1" applyFill="1" applyBorder="1" applyAlignment="1">
      <alignment wrapText="1"/>
    </xf>
    <xf numFmtId="0" fontId="6" fillId="5" borderId="9" xfId="0" applyFont="1" applyFill="1" applyBorder="1" applyAlignment="1">
      <alignment horizontal="center"/>
    </xf>
    <xf numFmtId="0" fontId="0" fillId="0" borderId="9" xfId="0" applyBorder="1" applyAlignment="1">
      <alignment horizontal="center"/>
    </xf>
    <xf numFmtId="0" fontId="7" fillId="5" borderId="9" xfId="0" applyFont="1" applyFill="1" applyBorder="1" applyAlignment="1">
      <alignment horizontal="center"/>
    </xf>
    <xf numFmtId="0" fontId="0" fillId="0" borderId="0" xfId="0" applyAlignment="1">
      <alignment horizontal="center"/>
    </xf>
    <xf numFmtId="0" fontId="0" fillId="0" borderId="4" xfId="0" applyBorder="1" applyAlignment="1">
      <alignment wrapText="1"/>
    </xf>
    <xf numFmtId="0" fontId="8" fillId="0" borderId="10" xfId="0" applyFont="1" applyBorder="1" applyAlignment="1">
      <alignment wrapText="1"/>
    </xf>
    <xf numFmtId="0" fontId="5" fillId="0" borderId="10" xfId="2" applyBorder="1" applyAlignment="1">
      <alignment wrapText="1"/>
    </xf>
    <xf numFmtId="0" fontId="7" fillId="5" borderId="11" xfId="0" applyFont="1" applyFill="1" applyBorder="1" applyAlignment="1">
      <alignment wrapText="1"/>
    </xf>
    <xf numFmtId="0" fontId="0" fillId="0" borderId="10" xfId="0" applyBorder="1" applyAlignment="1">
      <alignment wrapText="1"/>
    </xf>
    <xf numFmtId="0" fontId="5" fillId="0" borderId="0" xfId="2" applyAlignment="1">
      <alignment wrapText="1"/>
    </xf>
    <xf numFmtId="0" fontId="0" fillId="0" borderId="11" xfId="0" applyBorder="1" applyAlignment="1">
      <alignment horizontal="center"/>
    </xf>
    <xf numFmtId="0" fontId="0" fillId="0" borderId="12" xfId="0" applyBorder="1" applyAlignment="1">
      <alignment wrapText="1"/>
    </xf>
    <xf numFmtId="0" fontId="0" fillId="0" borderId="1" xfId="0" applyBorder="1"/>
    <xf numFmtId="0" fontId="0" fillId="0" borderId="4" xfId="0" applyBorder="1" applyAlignment="1">
      <alignment horizontal="center"/>
    </xf>
    <xf numFmtId="0" fontId="5" fillId="0" borderId="4" xfId="2" applyBorder="1" applyAlignment="1">
      <alignment wrapText="1"/>
    </xf>
    <xf numFmtId="0" fontId="3" fillId="2" borderId="3" xfId="0" applyFont="1" applyFill="1" applyBorder="1" applyAlignment="1">
      <alignment horizontal="center" vertical="center" wrapText="1"/>
    </xf>
    <xf numFmtId="0" fontId="9" fillId="0" borderId="0" xfId="0" applyFont="1" applyAlignment="1">
      <alignment horizontal="center" vertical="center" wrapText="1"/>
    </xf>
    <xf numFmtId="2" fontId="0" fillId="0" borderId="4" xfId="0" applyNumberFormat="1" applyBorder="1"/>
    <xf numFmtId="2" fontId="0" fillId="0" borderId="0" xfId="0" applyNumberFormat="1"/>
    <xf numFmtId="0" fontId="0" fillId="4" borderId="4" xfId="0" applyFill="1" applyBorder="1" applyAlignment="1">
      <alignment wrapText="1"/>
    </xf>
  </cellXfs>
  <cellStyles count="3">
    <cellStyle name="Hyperlink" xfId="2" builtinId="8"/>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ea.nic.in/psp___a_i/transmission-system-for-integration-of-over-500-gw-non-fossil-capacity-by-2030/?lang=en" TargetMode="External"/><Relationship Id="rId13" Type="http://schemas.openxmlformats.org/officeDocument/2006/relationships/hyperlink" Target="https://openinframap.org/" TargetMode="External"/><Relationship Id="rId3" Type="http://schemas.openxmlformats.org/officeDocument/2006/relationships/hyperlink" Target="https://www.ctuil.in/bidding-calendar" TargetMode="External"/><Relationship Id="rId7" Type="http://schemas.openxmlformats.org/officeDocument/2006/relationships/hyperlink" Target="https://www.ctuil.in/renewable-energy" TargetMode="External"/><Relationship Id="rId12" Type="http://schemas.openxmlformats.org/officeDocument/2006/relationships/hyperlink" Target="https://globalwindatlas.info/en/" TargetMode="External"/><Relationship Id="rId2" Type="http://schemas.openxmlformats.org/officeDocument/2006/relationships/hyperlink" Target="https://www.ctuil.in/reallocation_meetings" TargetMode="External"/><Relationship Id="rId1" Type="http://schemas.openxmlformats.org/officeDocument/2006/relationships/hyperlink" Target="https://www.ctuil.in/regenerators" TargetMode="External"/><Relationship Id="rId6" Type="http://schemas.openxmlformats.org/officeDocument/2006/relationships/hyperlink" Target="https://www.ctuil.in/connectivityannexures" TargetMode="External"/><Relationship Id="rId11" Type="http://schemas.openxmlformats.org/officeDocument/2006/relationships/hyperlink" Target="https://ctuil.in/substation-bulk-consumers" TargetMode="External"/><Relationship Id="rId5" Type="http://schemas.openxmlformats.org/officeDocument/2006/relationships/hyperlink" Target="https://www.ctuil.in/uploads/assets/175040253742List%20of%20applicant%20due%20for%20complaince%20June%20to%20Aug'25.pdf" TargetMode="External"/><Relationship Id="rId10" Type="http://schemas.openxmlformats.org/officeDocument/2006/relationships/hyperlink" Target="https://cea.nic.in/transmission-reports/?lang=en" TargetMode="External"/><Relationship Id="rId4" Type="http://schemas.openxmlformats.org/officeDocument/2006/relationships/hyperlink" Target="https://cea.nic.in/transmission-reports/?lang=en" TargetMode="External"/><Relationship Id="rId9" Type="http://schemas.openxmlformats.org/officeDocument/2006/relationships/hyperlink" Target="https://cea.nic.in/comm-trans/national-committee-on-transmission/?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2"/>
  <sheetViews>
    <sheetView zoomScaleNormal="90" workbookViewId="0">
      <selection activeCell="C3" sqref="C3"/>
    </sheetView>
  </sheetViews>
  <sheetFormatPr defaultRowHeight="12.5"/>
  <cols>
    <col min="2" max="2" width="9.1796875" style="25" customWidth="1"/>
    <col min="3" max="3" width="116.453125" style="12" customWidth="1"/>
  </cols>
  <sheetData>
    <row r="2" spans="2:4" ht="26" customHeight="1">
      <c r="B2" s="22" t="s">
        <v>0</v>
      </c>
      <c r="C2" s="21" t="s">
        <v>1</v>
      </c>
      <c r="D2" s="29" t="s">
        <v>2</v>
      </c>
    </row>
    <row r="3" spans="2:4">
      <c r="B3" s="23">
        <v>1</v>
      </c>
      <c r="C3" s="27" t="s">
        <v>3</v>
      </c>
      <c r="D3" s="14" t="s">
        <v>4</v>
      </c>
    </row>
    <row r="4" spans="2:4" ht="23" customHeight="1">
      <c r="B4" s="23">
        <v>2</v>
      </c>
      <c r="C4" s="27" t="s">
        <v>5</v>
      </c>
      <c r="D4" s="14" t="s">
        <v>4</v>
      </c>
    </row>
    <row r="5" spans="2:4">
      <c r="B5" s="23">
        <v>3</v>
      </c>
      <c r="C5" s="28" t="s">
        <v>6</v>
      </c>
      <c r="D5" s="14" t="s">
        <v>4</v>
      </c>
    </row>
    <row r="6" spans="2:4">
      <c r="B6" s="23">
        <v>4</v>
      </c>
      <c r="C6" s="28" t="s">
        <v>7</v>
      </c>
      <c r="D6" s="14" t="s">
        <v>8</v>
      </c>
    </row>
    <row r="7" spans="2:4">
      <c r="B7" s="23">
        <v>5</v>
      </c>
      <c r="C7" s="28" t="s">
        <v>9</v>
      </c>
      <c r="D7" s="14" t="s">
        <v>8</v>
      </c>
    </row>
    <row r="8" spans="2:4">
      <c r="B8" s="23">
        <v>6</v>
      </c>
      <c r="C8" s="28" t="s">
        <v>10</v>
      </c>
      <c r="D8" s="14" t="s">
        <v>4</v>
      </c>
    </row>
    <row r="9" spans="2:4">
      <c r="B9" s="23">
        <v>7</v>
      </c>
      <c r="C9" s="28" t="s">
        <v>11</v>
      </c>
      <c r="D9" s="14" t="s">
        <v>4</v>
      </c>
    </row>
    <row r="10" spans="2:4">
      <c r="B10" s="23">
        <v>8</v>
      </c>
      <c r="C10" s="28" t="s">
        <v>12</v>
      </c>
      <c r="D10" s="14" t="s">
        <v>4</v>
      </c>
    </row>
    <row r="12" spans="2:4" ht="26" customHeight="1">
      <c r="B12" s="24" t="s">
        <v>0</v>
      </c>
      <c r="C12" s="21" t="s">
        <v>13</v>
      </c>
      <c r="D12" s="29" t="s">
        <v>2</v>
      </c>
    </row>
    <row r="13" spans="2:4" ht="25" customHeight="1">
      <c r="B13" s="23">
        <v>9</v>
      </c>
      <c r="C13" s="28" t="s">
        <v>14</v>
      </c>
      <c r="D13" s="14" t="s">
        <v>8</v>
      </c>
    </row>
    <row r="14" spans="2:4">
      <c r="B14" s="23" t="s">
        <v>15</v>
      </c>
      <c r="C14" s="28" t="s">
        <v>16</v>
      </c>
      <c r="D14" s="14" t="s">
        <v>8</v>
      </c>
    </row>
    <row r="15" spans="2:4" ht="25" customHeight="1">
      <c r="B15" s="23" t="s">
        <v>17</v>
      </c>
      <c r="C15" s="31" t="s">
        <v>18</v>
      </c>
      <c r="D15" s="14" t="s">
        <v>4</v>
      </c>
    </row>
    <row r="16" spans="2:4" ht="62.5" customHeight="1">
      <c r="B16" s="23" t="s">
        <v>19</v>
      </c>
      <c r="C16" s="30" t="s">
        <v>20</v>
      </c>
      <c r="D16" s="14" t="s">
        <v>4</v>
      </c>
    </row>
    <row r="17" spans="2:4" ht="37.5" customHeight="1">
      <c r="B17" s="23" t="s">
        <v>21</v>
      </c>
      <c r="C17" s="28" t="s">
        <v>22</v>
      </c>
      <c r="D17" s="14" t="s">
        <v>4</v>
      </c>
    </row>
    <row r="18" spans="2:4">
      <c r="B18" s="23" t="s">
        <v>23</v>
      </c>
      <c r="C18" s="30" t="s">
        <v>24</v>
      </c>
      <c r="D18" s="14"/>
    </row>
    <row r="19" spans="2:4">
      <c r="B19" s="23">
        <v>11</v>
      </c>
      <c r="C19" s="28" t="s">
        <v>25</v>
      </c>
      <c r="D19" s="14" t="s">
        <v>8</v>
      </c>
    </row>
    <row r="20" spans="2:4" ht="25" customHeight="1">
      <c r="B20" s="32">
        <v>12</v>
      </c>
      <c r="C20" s="33" t="s">
        <v>26</v>
      </c>
      <c r="D20" s="34" t="s">
        <v>8</v>
      </c>
    </row>
    <row r="21" spans="2:4">
      <c r="B21" s="35">
        <v>13</v>
      </c>
      <c r="C21" s="36" t="s">
        <v>27</v>
      </c>
      <c r="D21" s="34" t="s">
        <v>8</v>
      </c>
    </row>
    <row r="22" spans="2:4">
      <c r="B22" s="35">
        <v>14</v>
      </c>
      <c r="C22" s="36" t="s">
        <v>28</v>
      </c>
      <c r="D22" s="34" t="s">
        <v>8</v>
      </c>
    </row>
  </sheetData>
  <hyperlinks>
    <hyperlink ref="C5"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3" r:id="rId7" xr:uid="{00000000-0004-0000-0000-000006000000}"/>
    <hyperlink ref="C14" r:id="rId8" xr:uid="{00000000-0004-0000-0000-000007000000}"/>
    <hyperlink ref="C15" r:id="rId9" display="https://cea.nic.in/comm-trans/national-committee-on-transmission/?lang=en" xr:uid="{00000000-0004-0000-0000-000008000000}"/>
    <hyperlink ref="C17" r:id="rId10" display="https://cea.nic.in/transmission-reports/?lang=en" xr:uid="{00000000-0004-0000-0000-000009000000}"/>
    <hyperlink ref="C19" r:id="rId11" xr:uid="{00000000-0004-0000-0000-00000A000000}"/>
    <hyperlink ref="C21" r:id="rId12" display="Global Wind Atlas" xr:uid="{00000000-0004-0000-0000-00000B000000}"/>
    <hyperlink ref="C22" r:id="rId13" location="8.12/23.96/70.256" display="Open Infrastructure Map"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U1627"/>
  <sheetViews>
    <sheetView topLeftCell="A2" workbookViewId="0">
      <selection activeCell="F9" sqref="F9"/>
    </sheetView>
  </sheetViews>
  <sheetFormatPr defaultRowHeight="12.5"/>
  <cols>
    <col min="1" max="1" width="41.26953125" customWidth="1"/>
    <col min="5" max="5" width="10.7265625" customWidth="1"/>
    <col min="6" max="6" width="15.1796875" customWidth="1"/>
    <col min="9" max="10" width="13" customWidth="1"/>
    <col min="11" max="11" width="24.54296875" bestFit="1" customWidth="1"/>
    <col min="12" max="12" width="15.1796875" bestFit="1" customWidth="1"/>
    <col min="13" max="15" width="15.1796875" customWidth="1"/>
    <col min="17" max="17" width="14" customWidth="1"/>
    <col min="18" max="18" width="10.54296875" customWidth="1"/>
    <col min="30" max="30" width="15.7265625" customWidth="1"/>
    <col min="31" max="31" width="11.36328125" customWidth="1"/>
    <col min="32" max="32" width="25.1796875" bestFit="1" customWidth="1"/>
    <col min="33" max="33" width="16" bestFit="1" customWidth="1"/>
    <col min="34" max="34" width="20.26953125" bestFit="1" customWidth="1"/>
    <col min="35" max="35" width="23.26953125" bestFit="1" customWidth="1"/>
    <col min="36" max="37" width="16" customWidth="1"/>
    <col min="38" max="38" width="8" customWidth="1"/>
    <col min="39" max="39" width="10.453125" customWidth="1"/>
    <col min="40" max="40" width="13.54296875" customWidth="1"/>
    <col min="41" max="41" width="13.7265625" customWidth="1"/>
    <col min="42" max="43" width="11.54296875" customWidth="1"/>
    <col min="44" max="44" width="10.81640625" hidden="1" customWidth="1"/>
    <col min="45" max="45" width="13" hidden="1" customWidth="1"/>
    <col min="46" max="46" width="18.1796875" hidden="1" customWidth="1"/>
  </cols>
  <sheetData>
    <row r="2" spans="1:47" ht="89.25" customHeight="1">
      <c r="B2" s="7" t="s">
        <v>29</v>
      </c>
      <c r="C2" s="1" t="s">
        <v>30</v>
      </c>
      <c r="D2" s="1" t="s">
        <v>31</v>
      </c>
      <c r="E2" s="1" t="s">
        <v>32</v>
      </c>
      <c r="F2" s="1" t="s">
        <v>33</v>
      </c>
      <c r="G2" s="1" t="s">
        <v>34</v>
      </c>
      <c r="H2" s="1" t="s">
        <v>35</v>
      </c>
      <c r="I2" s="1" t="s">
        <v>36</v>
      </c>
      <c r="J2" s="1" t="s">
        <v>37</v>
      </c>
      <c r="K2" s="1" t="s">
        <v>38</v>
      </c>
      <c r="L2" s="1" t="s">
        <v>39</v>
      </c>
      <c r="M2" s="1" t="s">
        <v>40</v>
      </c>
      <c r="N2" s="1" t="s">
        <v>41</v>
      </c>
      <c r="O2" s="1" t="s">
        <v>42</v>
      </c>
      <c r="P2" s="1" t="s">
        <v>43</v>
      </c>
      <c r="Q2" s="1" t="s">
        <v>44</v>
      </c>
      <c r="R2" s="1" t="s">
        <v>45</v>
      </c>
      <c r="S2" s="4" t="s">
        <v>46</v>
      </c>
      <c r="T2" s="4"/>
      <c r="U2" s="4"/>
      <c r="V2" s="18" t="s">
        <v>47</v>
      </c>
      <c r="W2" s="19"/>
      <c r="X2" s="20"/>
      <c r="Y2" s="18" t="s">
        <v>48</v>
      </c>
      <c r="Z2" s="19"/>
      <c r="AA2" s="19"/>
      <c r="AB2" s="3" t="s">
        <v>49</v>
      </c>
      <c r="AC2" s="3"/>
      <c r="AD2" s="1" t="s">
        <v>50</v>
      </c>
      <c r="AE2" s="1" t="s">
        <v>51</v>
      </c>
      <c r="AF2" s="1" t="s">
        <v>52</v>
      </c>
      <c r="AG2" s="5" t="s">
        <v>53</v>
      </c>
      <c r="AH2" s="5" t="s">
        <v>54</v>
      </c>
      <c r="AI2" s="5" t="s">
        <v>55</v>
      </c>
      <c r="AJ2" s="5" t="s">
        <v>56</v>
      </c>
      <c r="AK2" s="37" t="s">
        <v>57</v>
      </c>
      <c r="AL2" s="10" t="s">
        <v>58</v>
      </c>
      <c r="AM2" s="1" t="s">
        <v>59</v>
      </c>
      <c r="AN2" s="1" t="s">
        <v>60</v>
      </c>
      <c r="AO2" s="1" t="s">
        <v>61</v>
      </c>
      <c r="AP2" s="1" t="s">
        <v>62</v>
      </c>
      <c r="AQ2" s="1" t="s">
        <v>63</v>
      </c>
      <c r="AR2" s="1" t="s">
        <v>64</v>
      </c>
      <c r="AS2" s="1" t="s">
        <v>65</v>
      </c>
      <c r="AT2" s="4" t="s">
        <v>66</v>
      </c>
      <c r="AU2" s="1" t="s">
        <v>67</v>
      </c>
    </row>
    <row r="3" spans="1:47" ht="31" customHeight="1">
      <c r="B3" s="8">
        <v>1</v>
      </c>
      <c r="C3" s="2" t="s">
        <v>68</v>
      </c>
      <c r="D3" s="2" t="s">
        <v>69</v>
      </c>
      <c r="E3" s="2" t="s">
        <v>70</v>
      </c>
      <c r="F3" s="2"/>
      <c r="G3" s="2" t="s">
        <v>71</v>
      </c>
      <c r="H3" s="2"/>
      <c r="I3" s="2">
        <v>2200000788</v>
      </c>
      <c r="J3" s="2"/>
      <c r="K3" s="2"/>
      <c r="L3" s="2"/>
      <c r="M3" s="2"/>
      <c r="N3" s="2"/>
      <c r="O3" s="2"/>
      <c r="P3" s="2"/>
      <c r="Q3" s="2">
        <v>300</v>
      </c>
      <c r="R3" s="2"/>
      <c r="S3" s="6" t="s">
        <v>72</v>
      </c>
      <c r="T3" s="6" t="s">
        <v>73</v>
      </c>
      <c r="U3" s="6" t="s">
        <v>74</v>
      </c>
      <c r="V3" s="6" t="s">
        <v>75</v>
      </c>
      <c r="W3" s="6" t="s">
        <v>76</v>
      </c>
      <c r="X3" s="6" t="s">
        <v>77</v>
      </c>
      <c r="Y3" s="6" t="s">
        <v>75</v>
      </c>
      <c r="Z3" s="6" t="s">
        <v>76</v>
      </c>
      <c r="AA3" s="6" t="s">
        <v>77</v>
      </c>
      <c r="AB3" s="2" t="s">
        <v>78</v>
      </c>
      <c r="AC3" s="2" t="s">
        <v>79</v>
      </c>
      <c r="AD3" s="2" t="s">
        <v>80</v>
      </c>
      <c r="AE3" s="2" t="s">
        <v>81</v>
      </c>
      <c r="AF3" s="2" t="s">
        <v>82</v>
      </c>
      <c r="AG3" s="2"/>
      <c r="AH3" s="2"/>
      <c r="AI3" s="9"/>
      <c r="AJ3" s="2" t="s">
        <v>83</v>
      </c>
      <c r="AK3" s="2" t="s">
        <v>84</v>
      </c>
      <c r="AL3" s="2"/>
      <c r="AM3" s="2"/>
      <c r="AN3" s="2"/>
      <c r="AO3" s="2"/>
      <c r="AP3" s="2"/>
      <c r="AQ3" s="2"/>
      <c r="AR3" s="17"/>
      <c r="AS3" s="2"/>
      <c r="AU3" s="2"/>
    </row>
    <row r="4" spans="1:47">
      <c r="B4" s="14">
        <v>2</v>
      </c>
      <c r="C4" s="14" t="s">
        <v>68</v>
      </c>
      <c r="D4" s="14" t="s">
        <v>69</v>
      </c>
      <c r="E4" s="14" t="s">
        <v>70</v>
      </c>
      <c r="F4" s="14"/>
      <c r="G4" s="14" t="s">
        <v>85</v>
      </c>
      <c r="H4" s="14"/>
      <c r="I4" s="14">
        <v>2200000793</v>
      </c>
      <c r="J4" s="14"/>
      <c r="K4" s="14"/>
      <c r="L4" s="14"/>
      <c r="M4" s="14"/>
      <c r="N4" s="14"/>
      <c r="O4" s="14"/>
      <c r="P4" s="14"/>
      <c r="Q4" s="14">
        <v>300</v>
      </c>
      <c r="R4" s="14"/>
      <c r="S4" s="14"/>
      <c r="T4" s="14"/>
      <c r="U4" s="14"/>
      <c r="V4" s="14"/>
      <c r="W4" s="14"/>
      <c r="X4" s="14"/>
      <c r="Y4" s="14"/>
      <c r="Z4" s="14"/>
      <c r="AA4" s="14"/>
      <c r="AB4" s="14"/>
      <c r="AC4" s="14"/>
      <c r="AD4" s="14" t="s">
        <v>86</v>
      </c>
      <c r="AE4" s="14" t="s">
        <v>81</v>
      </c>
      <c r="AF4" s="14" t="s">
        <v>87</v>
      </c>
      <c r="AG4" s="14"/>
      <c r="AH4" s="14"/>
      <c r="AI4" s="14"/>
      <c r="AJ4" s="14" t="s">
        <v>83</v>
      </c>
      <c r="AK4" s="14" t="s">
        <v>84</v>
      </c>
      <c r="AL4" s="14"/>
      <c r="AM4" s="14"/>
      <c r="AN4" s="14"/>
      <c r="AO4" s="14"/>
      <c r="AP4" s="14"/>
      <c r="AQ4" s="14"/>
      <c r="AR4" s="14"/>
      <c r="AS4" s="14"/>
      <c r="AU4" s="14"/>
    </row>
    <row r="5" spans="1:47">
      <c r="B5" s="14">
        <v>3</v>
      </c>
      <c r="C5" s="14" t="s">
        <v>68</v>
      </c>
      <c r="D5" s="14" t="s">
        <v>69</v>
      </c>
      <c r="E5" s="14" t="s">
        <v>70</v>
      </c>
      <c r="F5" s="14"/>
      <c r="G5" s="14" t="s">
        <v>85</v>
      </c>
      <c r="H5" s="14"/>
      <c r="I5" s="14">
        <v>2200000794</v>
      </c>
      <c r="J5" s="14"/>
      <c r="K5" s="14"/>
      <c r="L5" s="14"/>
      <c r="M5" s="14"/>
      <c r="N5" s="14"/>
      <c r="O5" s="14"/>
      <c r="P5" s="14"/>
      <c r="Q5" s="14">
        <v>300</v>
      </c>
      <c r="R5" s="14"/>
      <c r="S5" s="14"/>
      <c r="T5" s="14"/>
      <c r="U5" s="14"/>
      <c r="V5" s="14"/>
      <c r="W5" s="14"/>
      <c r="X5" s="14"/>
      <c r="Y5" s="14"/>
      <c r="Z5" s="14"/>
      <c r="AA5" s="14"/>
      <c r="AB5" s="14"/>
      <c r="AC5" s="14"/>
      <c r="AD5" s="14" t="s">
        <v>86</v>
      </c>
      <c r="AE5" s="14" t="s">
        <v>81</v>
      </c>
      <c r="AF5" s="14" t="s">
        <v>87</v>
      </c>
      <c r="AG5" s="14"/>
      <c r="AH5" s="14"/>
      <c r="AI5" s="14"/>
      <c r="AJ5" s="14" t="s">
        <v>83</v>
      </c>
      <c r="AK5" s="14" t="s">
        <v>84</v>
      </c>
      <c r="AL5" s="14"/>
      <c r="AM5" s="14"/>
      <c r="AN5" s="14"/>
      <c r="AO5" s="14"/>
      <c r="AP5" s="14"/>
      <c r="AQ5" s="14"/>
      <c r="AR5" s="14"/>
      <c r="AS5" s="14"/>
      <c r="AU5" s="14"/>
    </row>
    <row r="6" spans="1:47">
      <c r="B6" s="14">
        <v>4</v>
      </c>
      <c r="C6" s="14" t="s">
        <v>68</v>
      </c>
      <c r="D6" s="14" t="s">
        <v>69</v>
      </c>
      <c r="E6" s="14" t="s">
        <v>70</v>
      </c>
      <c r="F6" s="14"/>
      <c r="G6" s="14" t="s">
        <v>88</v>
      </c>
      <c r="H6" s="14"/>
      <c r="I6" s="14">
        <v>2200000827</v>
      </c>
      <c r="J6" s="14"/>
      <c r="K6" s="14"/>
      <c r="L6" s="14"/>
      <c r="M6" s="14"/>
      <c r="N6" s="14"/>
      <c r="O6" s="14"/>
      <c r="P6" s="14"/>
      <c r="Q6" s="14">
        <v>350</v>
      </c>
      <c r="R6" s="14"/>
      <c r="S6" s="14"/>
      <c r="T6" s="14"/>
      <c r="U6" s="14"/>
      <c r="V6" s="14"/>
      <c r="W6" s="14"/>
      <c r="X6" s="14"/>
      <c r="Y6" s="14"/>
      <c r="Z6" s="14"/>
      <c r="AA6" s="14"/>
      <c r="AB6" s="14"/>
      <c r="AC6" s="14"/>
      <c r="AD6" s="14" t="s">
        <v>89</v>
      </c>
      <c r="AE6" s="14" t="s">
        <v>81</v>
      </c>
      <c r="AF6" s="14" t="s">
        <v>90</v>
      </c>
      <c r="AG6" s="14"/>
      <c r="AH6" s="14"/>
      <c r="AI6" s="14"/>
      <c r="AJ6" s="14" t="s">
        <v>83</v>
      </c>
      <c r="AK6" s="14" t="s">
        <v>91</v>
      </c>
      <c r="AL6" s="14"/>
      <c r="AM6" s="14"/>
      <c r="AN6" s="14"/>
      <c r="AO6" s="14"/>
      <c r="AP6" s="14"/>
      <c r="AQ6" s="14"/>
      <c r="AR6" s="14"/>
      <c r="AS6" s="14"/>
      <c r="AU6" s="14"/>
    </row>
    <row r="7" spans="1:47">
      <c r="B7" s="14">
        <v>5</v>
      </c>
      <c r="C7" s="14" t="s">
        <v>68</v>
      </c>
      <c r="D7" s="14" t="s">
        <v>69</v>
      </c>
      <c r="E7" s="14" t="s">
        <v>92</v>
      </c>
      <c r="F7" s="14"/>
      <c r="G7" s="14" t="s">
        <v>93</v>
      </c>
      <c r="H7" s="14"/>
      <c r="I7" s="14">
        <v>2200000841</v>
      </c>
      <c r="J7" s="14"/>
      <c r="K7" s="14"/>
      <c r="L7" s="14"/>
      <c r="M7" s="14"/>
      <c r="N7" s="14"/>
      <c r="O7" s="14"/>
      <c r="P7" s="14"/>
      <c r="Q7" s="14">
        <v>100</v>
      </c>
      <c r="R7" s="14"/>
      <c r="S7" s="14"/>
      <c r="T7" s="14"/>
      <c r="U7" s="14"/>
      <c r="V7" s="14"/>
      <c r="W7" s="14"/>
      <c r="X7" s="14"/>
      <c r="Y7" s="14"/>
      <c r="Z7" s="14"/>
      <c r="AA7" s="14"/>
      <c r="AB7" s="14"/>
      <c r="AC7" s="14"/>
      <c r="AD7" s="14" t="s">
        <v>94</v>
      </c>
      <c r="AE7" s="14" t="s">
        <v>81</v>
      </c>
      <c r="AF7" s="14" t="s">
        <v>82</v>
      </c>
      <c r="AG7" s="14"/>
      <c r="AH7" s="14"/>
      <c r="AI7" s="14"/>
      <c r="AJ7" s="14" t="s">
        <v>83</v>
      </c>
      <c r="AK7" s="14" t="s">
        <v>84</v>
      </c>
      <c r="AL7" s="14"/>
      <c r="AM7" s="14"/>
      <c r="AN7" s="14"/>
      <c r="AO7" s="14"/>
      <c r="AP7" s="14"/>
      <c r="AQ7" s="14"/>
      <c r="AR7" s="14"/>
      <c r="AS7" s="14"/>
      <c r="AU7" s="14"/>
    </row>
    <row r="8" spans="1:47">
      <c r="B8">
        <v>6</v>
      </c>
      <c r="C8" t="s">
        <v>68</v>
      </c>
      <c r="D8" t="s">
        <v>69</v>
      </c>
      <c r="E8" t="s">
        <v>95</v>
      </c>
      <c r="G8" t="s">
        <v>96</v>
      </c>
      <c r="I8">
        <v>2200000891</v>
      </c>
      <c r="Q8">
        <v>400</v>
      </c>
      <c r="AD8" t="s">
        <v>94</v>
      </c>
      <c r="AE8" t="s">
        <v>81</v>
      </c>
      <c r="AF8" t="s">
        <v>97</v>
      </c>
      <c r="AJ8" t="s">
        <v>83</v>
      </c>
      <c r="AK8" t="s">
        <v>84</v>
      </c>
    </row>
    <row r="9" spans="1:47">
      <c r="A9" t="s">
        <v>98</v>
      </c>
      <c r="B9">
        <v>7</v>
      </c>
      <c r="C9" t="s">
        <v>68</v>
      </c>
      <c r="D9" t="s">
        <v>69</v>
      </c>
      <c r="E9" t="s">
        <v>99</v>
      </c>
      <c r="G9" t="s">
        <v>100</v>
      </c>
      <c r="I9">
        <v>2200000860</v>
      </c>
      <c r="Q9">
        <v>300</v>
      </c>
      <c r="AD9" t="s">
        <v>94</v>
      </c>
      <c r="AE9" t="s">
        <v>81</v>
      </c>
      <c r="AF9" t="s">
        <v>101</v>
      </c>
      <c r="AJ9" t="s">
        <v>83</v>
      </c>
      <c r="AK9" t="s">
        <v>91</v>
      </c>
    </row>
    <row r="10" spans="1:47">
      <c r="B10">
        <v>8</v>
      </c>
      <c r="C10" t="s">
        <v>68</v>
      </c>
      <c r="D10" t="s">
        <v>69</v>
      </c>
      <c r="G10" t="s">
        <v>102</v>
      </c>
      <c r="I10">
        <v>2200000894</v>
      </c>
      <c r="Q10">
        <v>300</v>
      </c>
      <c r="AD10" t="s">
        <v>94</v>
      </c>
      <c r="AE10" t="s">
        <v>81</v>
      </c>
      <c r="AF10" t="s">
        <v>103</v>
      </c>
      <c r="AJ10" t="s">
        <v>104</v>
      </c>
    </row>
    <row r="11" spans="1:47">
      <c r="B11">
        <v>1</v>
      </c>
      <c r="C11" t="s">
        <v>68</v>
      </c>
      <c r="D11" t="s">
        <v>69</v>
      </c>
      <c r="E11" t="s">
        <v>105</v>
      </c>
      <c r="G11" t="s">
        <v>106</v>
      </c>
      <c r="I11">
        <v>2200000832</v>
      </c>
      <c r="Q11">
        <v>250</v>
      </c>
      <c r="AD11" t="s">
        <v>107</v>
      </c>
      <c r="AE11" t="s">
        <v>81</v>
      </c>
      <c r="AF11" t="s">
        <v>108</v>
      </c>
      <c r="AJ11" t="s">
        <v>104</v>
      </c>
    </row>
    <row r="12" spans="1:47">
      <c r="B12">
        <v>1</v>
      </c>
      <c r="C12" t="s">
        <v>68</v>
      </c>
      <c r="D12" t="s">
        <v>69</v>
      </c>
      <c r="E12" t="s">
        <v>109</v>
      </c>
      <c r="G12" t="s">
        <v>110</v>
      </c>
      <c r="I12">
        <v>2200001021</v>
      </c>
      <c r="Q12">
        <v>350</v>
      </c>
      <c r="AD12" t="s">
        <v>111</v>
      </c>
      <c r="AE12" t="s">
        <v>81</v>
      </c>
      <c r="AF12" t="s">
        <v>112</v>
      </c>
      <c r="AJ12" t="s">
        <v>83</v>
      </c>
      <c r="AK12" t="s">
        <v>91</v>
      </c>
    </row>
    <row r="13" spans="1:47">
      <c r="B13">
        <v>2</v>
      </c>
      <c r="C13" t="s">
        <v>68</v>
      </c>
      <c r="D13" t="s">
        <v>69</v>
      </c>
      <c r="E13" t="s">
        <v>113</v>
      </c>
      <c r="G13" t="s">
        <v>114</v>
      </c>
      <c r="I13">
        <v>2200000983</v>
      </c>
      <c r="Q13">
        <v>400</v>
      </c>
      <c r="AD13" t="s">
        <v>111</v>
      </c>
      <c r="AE13" t="s">
        <v>115</v>
      </c>
      <c r="AF13" t="s">
        <v>116</v>
      </c>
      <c r="AJ13" t="s">
        <v>117</v>
      </c>
      <c r="AK13" t="s">
        <v>84</v>
      </c>
    </row>
    <row r="14" spans="1:47">
      <c r="B14">
        <v>3</v>
      </c>
      <c r="C14" t="s">
        <v>68</v>
      </c>
      <c r="D14" t="s">
        <v>69</v>
      </c>
      <c r="E14" t="s">
        <v>118</v>
      </c>
      <c r="G14" t="s">
        <v>119</v>
      </c>
      <c r="I14">
        <v>2200001056</v>
      </c>
      <c r="Q14">
        <v>400</v>
      </c>
      <c r="AD14" t="s">
        <v>120</v>
      </c>
      <c r="AE14" t="s">
        <v>81</v>
      </c>
      <c r="AF14" t="s">
        <v>121</v>
      </c>
      <c r="AJ14" t="s">
        <v>122</v>
      </c>
      <c r="AK14" t="s">
        <v>91</v>
      </c>
    </row>
    <row r="15" spans="1:47">
      <c r="B15">
        <v>4</v>
      </c>
      <c r="C15" t="s">
        <v>68</v>
      </c>
      <c r="D15" t="s">
        <v>69</v>
      </c>
      <c r="E15" t="s">
        <v>123</v>
      </c>
      <c r="G15" t="s">
        <v>124</v>
      </c>
      <c r="I15">
        <v>2200001057</v>
      </c>
      <c r="Q15">
        <v>100</v>
      </c>
      <c r="AD15" t="s">
        <v>125</v>
      </c>
      <c r="AE15" t="s">
        <v>115</v>
      </c>
      <c r="AF15" t="s">
        <v>126</v>
      </c>
      <c r="AJ15" t="s">
        <v>83</v>
      </c>
    </row>
    <row r="16" spans="1:47">
      <c r="B16">
        <v>5</v>
      </c>
      <c r="C16" t="s">
        <v>68</v>
      </c>
      <c r="D16" t="s">
        <v>69</v>
      </c>
      <c r="E16" t="s">
        <v>127</v>
      </c>
      <c r="G16" t="s">
        <v>128</v>
      </c>
      <c r="I16">
        <v>2200001065</v>
      </c>
      <c r="Q16">
        <v>150</v>
      </c>
      <c r="AD16" t="s">
        <v>125</v>
      </c>
      <c r="AE16" t="s">
        <v>81</v>
      </c>
      <c r="AF16" t="s">
        <v>129</v>
      </c>
      <c r="AJ16" t="s">
        <v>83</v>
      </c>
      <c r="AK16" t="s">
        <v>84</v>
      </c>
    </row>
    <row r="17" spans="2:37">
      <c r="B17">
        <v>6</v>
      </c>
      <c r="C17" t="s">
        <v>68</v>
      </c>
      <c r="D17" t="s">
        <v>69</v>
      </c>
      <c r="E17" t="s">
        <v>130</v>
      </c>
      <c r="G17" t="s">
        <v>131</v>
      </c>
      <c r="I17">
        <v>2200001026</v>
      </c>
      <c r="Q17">
        <v>200</v>
      </c>
      <c r="AD17" t="s">
        <v>132</v>
      </c>
      <c r="AE17" t="s">
        <v>133</v>
      </c>
      <c r="AF17" t="s">
        <v>134</v>
      </c>
      <c r="AJ17" t="s">
        <v>83</v>
      </c>
      <c r="AK17" t="s">
        <v>91</v>
      </c>
    </row>
    <row r="18" spans="2:37">
      <c r="B18">
        <v>7</v>
      </c>
      <c r="C18" t="s">
        <v>68</v>
      </c>
      <c r="D18" t="s">
        <v>69</v>
      </c>
      <c r="E18" t="s">
        <v>135</v>
      </c>
      <c r="G18" t="s">
        <v>136</v>
      </c>
      <c r="I18">
        <v>2200001044</v>
      </c>
      <c r="Q18">
        <v>150</v>
      </c>
      <c r="R18" t="s">
        <v>137</v>
      </c>
      <c r="AD18" t="s">
        <v>138</v>
      </c>
      <c r="AE18" t="s">
        <v>115</v>
      </c>
      <c r="AF18" t="s">
        <v>139</v>
      </c>
      <c r="AJ18" t="s">
        <v>83</v>
      </c>
      <c r="AK18" t="s">
        <v>91</v>
      </c>
    </row>
    <row r="19" spans="2:37">
      <c r="B19">
        <v>8</v>
      </c>
      <c r="C19" t="s">
        <v>68</v>
      </c>
      <c r="D19" t="s">
        <v>69</v>
      </c>
      <c r="E19" t="s">
        <v>140</v>
      </c>
      <c r="G19" t="s">
        <v>141</v>
      </c>
      <c r="I19">
        <v>2200001089</v>
      </c>
      <c r="Q19">
        <v>300</v>
      </c>
      <c r="AD19" t="s">
        <v>142</v>
      </c>
      <c r="AE19" t="s">
        <v>81</v>
      </c>
      <c r="AF19" t="s">
        <v>143</v>
      </c>
      <c r="AJ19" t="s">
        <v>117</v>
      </c>
      <c r="AK19" t="s">
        <v>91</v>
      </c>
    </row>
    <row r="20" spans="2:37">
      <c r="B20">
        <v>9</v>
      </c>
      <c r="C20" t="s">
        <v>68</v>
      </c>
      <c r="D20" t="s">
        <v>69</v>
      </c>
      <c r="E20" t="s">
        <v>144</v>
      </c>
      <c r="G20" t="s">
        <v>141</v>
      </c>
      <c r="I20">
        <v>2200001087</v>
      </c>
      <c r="Q20">
        <v>300</v>
      </c>
      <c r="AD20" t="s">
        <v>142</v>
      </c>
      <c r="AE20" t="s">
        <v>81</v>
      </c>
      <c r="AF20" t="s">
        <v>143</v>
      </c>
      <c r="AJ20" t="s">
        <v>117</v>
      </c>
      <c r="AK20" t="s">
        <v>91</v>
      </c>
    </row>
    <row r="21" spans="2:37">
      <c r="B21">
        <v>10</v>
      </c>
      <c r="C21" t="s">
        <v>68</v>
      </c>
      <c r="D21" t="s">
        <v>69</v>
      </c>
      <c r="E21" t="s">
        <v>123</v>
      </c>
      <c r="G21" t="s">
        <v>145</v>
      </c>
      <c r="I21">
        <v>2200001088</v>
      </c>
      <c r="Q21">
        <v>80</v>
      </c>
      <c r="AD21" t="s">
        <v>142</v>
      </c>
      <c r="AE21" t="s">
        <v>115</v>
      </c>
      <c r="AF21" t="s">
        <v>146</v>
      </c>
      <c r="AJ21" t="s">
        <v>122</v>
      </c>
      <c r="AK21" t="s">
        <v>91</v>
      </c>
    </row>
    <row r="22" spans="2:37">
      <c r="B22">
        <v>11</v>
      </c>
      <c r="C22" t="s">
        <v>68</v>
      </c>
      <c r="D22" t="s">
        <v>69</v>
      </c>
      <c r="E22" t="s">
        <v>147</v>
      </c>
      <c r="G22" t="s">
        <v>148</v>
      </c>
      <c r="I22">
        <v>2200001085</v>
      </c>
      <c r="Q22">
        <v>700</v>
      </c>
      <c r="AD22" t="s">
        <v>142</v>
      </c>
      <c r="AE22" t="s">
        <v>149</v>
      </c>
      <c r="AF22" t="s">
        <v>150</v>
      </c>
      <c r="AJ22" t="s">
        <v>122</v>
      </c>
      <c r="AK22" t="s">
        <v>91</v>
      </c>
    </row>
    <row r="23" spans="2:37">
      <c r="B23">
        <v>12</v>
      </c>
      <c r="C23" t="s">
        <v>68</v>
      </c>
      <c r="D23" t="s">
        <v>69</v>
      </c>
      <c r="E23" t="s">
        <v>140</v>
      </c>
      <c r="G23" t="s">
        <v>151</v>
      </c>
      <c r="I23">
        <v>2200001100</v>
      </c>
      <c r="Q23">
        <v>300</v>
      </c>
      <c r="AD23" t="s">
        <v>152</v>
      </c>
      <c r="AE23" t="s">
        <v>81</v>
      </c>
      <c r="AF23" t="s">
        <v>153</v>
      </c>
      <c r="AJ23" t="s">
        <v>154</v>
      </c>
      <c r="AK23" t="s">
        <v>91</v>
      </c>
    </row>
    <row r="24" spans="2:37">
      <c r="B24">
        <v>1</v>
      </c>
      <c r="D24" t="s">
        <v>68</v>
      </c>
      <c r="G24" t="s">
        <v>155</v>
      </c>
      <c r="I24">
        <v>2200001060</v>
      </c>
      <c r="Q24">
        <v>4</v>
      </c>
      <c r="AD24" t="s">
        <v>125</v>
      </c>
      <c r="AF24" t="s">
        <v>156</v>
      </c>
      <c r="AJ24" t="s">
        <v>157</v>
      </c>
      <c r="AK24" t="s">
        <v>91</v>
      </c>
    </row>
    <row r="25" spans="2:37">
      <c r="B25">
        <v>2</v>
      </c>
      <c r="D25" t="s">
        <v>68</v>
      </c>
      <c r="G25" t="s">
        <v>158</v>
      </c>
      <c r="I25">
        <v>2200001058</v>
      </c>
      <c r="Q25">
        <v>10</v>
      </c>
      <c r="AD25" t="s">
        <v>125</v>
      </c>
      <c r="AF25" t="s">
        <v>156</v>
      </c>
      <c r="AJ25" t="s">
        <v>157</v>
      </c>
      <c r="AK25" t="s">
        <v>91</v>
      </c>
    </row>
    <row r="26" spans="2:37">
      <c r="B26">
        <v>3</v>
      </c>
      <c r="D26" t="s">
        <v>68</v>
      </c>
      <c r="G26" t="s">
        <v>158</v>
      </c>
      <c r="I26">
        <v>2200001059</v>
      </c>
      <c r="Q26">
        <v>3</v>
      </c>
      <c r="AD26" t="s">
        <v>125</v>
      </c>
      <c r="AF26" t="s">
        <v>156</v>
      </c>
      <c r="AJ26" t="s">
        <v>157</v>
      </c>
      <c r="AK26" t="s">
        <v>91</v>
      </c>
    </row>
    <row r="27" spans="2:37">
      <c r="B27">
        <v>4</v>
      </c>
      <c r="D27" t="s">
        <v>68</v>
      </c>
      <c r="G27" t="s">
        <v>159</v>
      </c>
      <c r="I27">
        <v>2200001081</v>
      </c>
      <c r="Q27">
        <v>4.5</v>
      </c>
      <c r="AD27" t="s">
        <v>142</v>
      </c>
      <c r="AF27" t="s">
        <v>156</v>
      </c>
      <c r="AJ27" t="s">
        <v>157</v>
      </c>
      <c r="AK27" t="s">
        <v>91</v>
      </c>
    </row>
    <row r="28" spans="2:37">
      <c r="B28">
        <v>5</v>
      </c>
      <c r="D28" t="s">
        <v>68</v>
      </c>
      <c r="G28" t="s">
        <v>158</v>
      </c>
      <c r="I28">
        <v>2200001101</v>
      </c>
      <c r="Q28">
        <v>5.85</v>
      </c>
      <c r="AD28" t="s">
        <v>152</v>
      </c>
      <c r="AF28" t="s">
        <v>156</v>
      </c>
      <c r="AJ28" t="s">
        <v>157</v>
      </c>
      <c r="AK28" t="s">
        <v>91</v>
      </c>
    </row>
    <row r="29" spans="2:37">
      <c r="B29">
        <v>1</v>
      </c>
      <c r="D29" t="s">
        <v>160</v>
      </c>
      <c r="G29">
        <v>672</v>
      </c>
      <c r="J29" t="s">
        <v>161</v>
      </c>
      <c r="AD29">
        <v>610</v>
      </c>
      <c r="AF29" t="s">
        <v>160</v>
      </c>
      <c r="AJ29">
        <v>672</v>
      </c>
    </row>
    <row r="30" spans="2:37">
      <c r="B30">
        <v>2</v>
      </c>
      <c r="D30" t="s">
        <v>162</v>
      </c>
      <c r="G30">
        <v>1120</v>
      </c>
      <c r="J30" t="s">
        <v>163</v>
      </c>
      <c r="AD30">
        <v>900</v>
      </c>
      <c r="AF30" t="s">
        <v>162</v>
      </c>
      <c r="AJ30">
        <v>1120</v>
      </c>
    </row>
    <row r="31" spans="2:37">
      <c r="C31" t="s">
        <v>68</v>
      </c>
      <c r="D31" t="s">
        <v>69</v>
      </c>
      <c r="E31" t="s">
        <v>164</v>
      </c>
      <c r="G31" t="s">
        <v>165</v>
      </c>
      <c r="I31">
        <v>2200000286</v>
      </c>
      <c r="P31" t="s">
        <v>72</v>
      </c>
      <c r="Q31">
        <v>300</v>
      </c>
    </row>
    <row r="32" spans="2:37">
      <c r="C32" t="s">
        <v>68</v>
      </c>
      <c r="D32" t="s">
        <v>69</v>
      </c>
      <c r="E32" t="s">
        <v>164</v>
      </c>
      <c r="G32" t="s">
        <v>166</v>
      </c>
      <c r="I32">
        <v>2200000281</v>
      </c>
      <c r="P32" t="s">
        <v>72</v>
      </c>
      <c r="Q32">
        <v>250</v>
      </c>
    </row>
    <row r="33" spans="3:17">
      <c r="C33" t="s">
        <v>68</v>
      </c>
      <c r="D33" t="s">
        <v>69</v>
      </c>
      <c r="E33" t="s">
        <v>164</v>
      </c>
      <c r="G33" t="s">
        <v>167</v>
      </c>
      <c r="I33">
        <v>2200000312</v>
      </c>
      <c r="P33" t="s">
        <v>72</v>
      </c>
      <c r="Q33">
        <v>300</v>
      </c>
    </row>
    <row r="34" spans="3:17">
      <c r="C34" t="s">
        <v>68</v>
      </c>
      <c r="D34" t="s">
        <v>69</v>
      </c>
      <c r="E34" t="s">
        <v>164</v>
      </c>
      <c r="G34" t="s">
        <v>168</v>
      </c>
      <c r="I34">
        <v>2200000153</v>
      </c>
      <c r="P34" t="s">
        <v>72</v>
      </c>
      <c r="Q34">
        <v>300</v>
      </c>
    </row>
    <row r="35" spans="3:17">
      <c r="C35" t="s">
        <v>68</v>
      </c>
      <c r="D35" t="s">
        <v>69</v>
      </c>
      <c r="E35" t="s">
        <v>164</v>
      </c>
      <c r="G35" t="s">
        <v>169</v>
      </c>
      <c r="I35">
        <v>2200000161</v>
      </c>
      <c r="P35" t="s">
        <v>72</v>
      </c>
      <c r="Q35">
        <v>400</v>
      </c>
    </row>
    <row r="36" spans="3:17">
      <c r="C36" t="s">
        <v>68</v>
      </c>
      <c r="D36" t="s">
        <v>69</v>
      </c>
      <c r="E36" t="s">
        <v>164</v>
      </c>
      <c r="G36" t="s">
        <v>170</v>
      </c>
      <c r="I36">
        <v>2200000181</v>
      </c>
      <c r="P36" t="s">
        <v>72</v>
      </c>
      <c r="Q36">
        <v>300</v>
      </c>
    </row>
    <row r="37" spans="3:17">
      <c r="C37" t="s">
        <v>68</v>
      </c>
      <c r="D37" t="s">
        <v>69</v>
      </c>
      <c r="E37" t="s">
        <v>164</v>
      </c>
      <c r="G37" t="s">
        <v>166</v>
      </c>
      <c r="I37">
        <v>2200000492</v>
      </c>
      <c r="P37" t="s">
        <v>72</v>
      </c>
      <c r="Q37">
        <v>300</v>
      </c>
    </row>
    <row r="38" spans="3:17">
      <c r="C38" t="s">
        <v>68</v>
      </c>
      <c r="D38" t="s">
        <v>69</v>
      </c>
      <c r="E38" t="s">
        <v>164</v>
      </c>
      <c r="G38" t="s">
        <v>171</v>
      </c>
      <c r="I38">
        <v>2200000316</v>
      </c>
      <c r="P38" t="s">
        <v>72</v>
      </c>
      <c r="Q38">
        <v>300</v>
      </c>
    </row>
    <row r="39" spans="3:17">
      <c r="C39" t="s">
        <v>68</v>
      </c>
      <c r="D39" t="s">
        <v>69</v>
      </c>
      <c r="E39" t="s">
        <v>164</v>
      </c>
      <c r="G39" t="s">
        <v>172</v>
      </c>
      <c r="I39">
        <v>2200000411</v>
      </c>
      <c r="P39" t="s">
        <v>72</v>
      </c>
      <c r="Q39">
        <v>300</v>
      </c>
    </row>
    <row r="40" spans="3:17">
      <c r="C40" t="s">
        <v>68</v>
      </c>
      <c r="D40" t="s">
        <v>69</v>
      </c>
      <c r="E40" t="s">
        <v>164</v>
      </c>
      <c r="G40" t="s">
        <v>173</v>
      </c>
      <c r="I40">
        <v>2200000412</v>
      </c>
      <c r="P40" t="s">
        <v>72</v>
      </c>
      <c r="Q40">
        <v>300</v>
      </c>
    </row>
    <row r="41" spans="3:17">
      <c r="C41" t="s">
        <v>68</v>
      </c>
      <c r="D41" t="s">
        <v>69</v>
      </c>
      <c r="E41" t="s">
        <v>164</v>
      </c>
      <c r="G41" t="s">
        <v>174</v>
      </c>
      <c r="I41">
        <v>2200000425</v>
      </c>
      <c r="P41" t="s">
        <v>72</v>
      </c>
      <c r="Q41">
        <v>250</v>
      </c>
    </row>
    <row r="42" spans="3:17">
      <c r="C42" t="s">
        <v>68</v>
      </c>
      <c r="D42" t="s">
        <v>69</v>
      </c>
      <c r="E42" t="s">
        <v>164</v>
      </c>
      <c r="G42" t="s">
        <v>175</v>
      </c>
      <c r="I42">
        <v>2200000305</v>
      </c>
      <c r="P42" t="s">
        <v>72</v>
      </c>
      <c r="Q42">
        <v>300</v>
      </c>
    </row>
    <row r="43" spans="3:17">
      <c r="C43" t="s">
        <v>68</v>
      </c>
      <c r="D43" t="s">
        <v>69</v>
      </c>
      <c r="E43" t="s">
        <v>164</v>
      </c>
      <c r="G43" t="s">
        <v>176</v>
      </c>
      <c r="I43">
        <v>2200000410</v>
      </c>
      <c r="P43" t="s">
        <v>72</v>
      </c>
      <c r="Q43">
        <v>600</v>
      </c>
    </row>
    <row r="44" spans="3:17">
      <c r="C44" t="s">
        <v>68</v>
      </c>
      <c r="D44" t="s">
        <v>69</v>
      </c>
      <c r="E44" t="s">
        <v>177</v>
      </c>
      <c r="G44" t="s">
        <v>178</v>
      </c>
      <c r="I44">
        <v>2200000636</v>
      </c>
      <c r="P44" t="s">
        <v>72</v>
      </c>
      <c r="Q44">
        <v>450</v>
      </c>
    </row>
    <row r="45" spans="3:17">
      <c r="C45" t="s">
        <v>68</v>
      </c>
      <c r="D45" t="s">
        <v>69</v>
      </c>
      <c r="E45" t="s">
        <v>177</v>
      </c>
      <c r="G45" t="s">
        <v>179</v>
      </c>
      <c r="I45">
        <v>2200000681</v>
      </c>
      <c r="P45" t="s">
        <v>72</v>
      </c>
      <c r="Q45">
        <v>1000</v>
      </c>
    </row>
    <row r="46" spans="3:17">
      <c r="C46" t="s">
        <v>68</v>
      </c>
      <c r="D46" t="s">
        <v>69</v>
      </c>
      <c r="E46" t="s">
        <v>177</v>
      </c>
      <c r="G46" t="s">
        <v>180</v>
      </c>
      <c r="I46">
        <v>2200000810</v>
      </c>
      <c r="P46" t="s">
        <v>72</v>
      </c>
      <c r="Q46">
        <v>717</v>
      </c>
    </row>
    <row r="47" spans="3:17">
      <c r="C47" t="s">
        <v>68</v>
      </c>
      <c r="D47" t="s">
        <v>69</v>
      </c>
      <c r="E47" t="s">
        <v>177</v>
      </c>
      <c r="G47" t="s">
        <v>181</v>
      </c>
      <c r="I47">
        <v>2200000906</v>
      </c>
      <c r="P47" t="s">
        <v>72</v>
      </c>
      <c r="Q47">
        <v>500</v>
      </c>
    </row>
    <row r="48" spans="3:17">
      <c r="C48" t="s">
        <v>68</v>
      </c>
      <c r="D48" t="s">
        <v>69</v>
      </c>
      <c r="E48" t="s">
        <v>177</v>
      </c>
      <c r="G48" t="s">
        <v>182</v>
      </c>
      <c r="I48">
        <v>2200001128</v>
      </c>
      <c r="P48" t="s">
        <v>183</v>
      </c>
      <c r="Q48">
        <v>100</v>
      </c>
    </row>
    <row r="49" spans="3:17">
      <c r="C49" t="s">
        <v>68</v>
      </c>
      <c r="D49" t="s">
        <v>69</v>
      </c>
      <c r="E49" t="s">
        <v>177</v>
      </c>
      <c r="G49" t="s">
        <v>181</v>
      </c>
      <c r="I49">
        <v>2200000973</v>
      </c>
      <c r="P49" t="s">
        <v>72</v>
      </c>
      <c r="Q49">
        <v>100</v>
      </c>
    </row>
    <row r="50" spans="3:17">
      <c r="C50" t="s">
        <v>68</v>
      </c>
      <c r="D50" t="s">
        <v>69</v>
      </c>
      <c r="E50" t="s">
        <v>177</v>
      </c>
      <c r="G50" t="s">
        <v>184</v>
      </c>
      <c r="I50">
        <v>2200000954</v>
      </c>
      <c r="P50" t="s">
        <v>72</v>
      </c>
      <c r="Q50">
        <v>250</v>
      </c>
    </row>
    <row r="51" spans="3:17">
      <c r="C51" t="s">
        <v>68</v>
      </c>
      <c r="D51" t="s">
        <v>69</v>
      </c>
      <c r="E51" t="s">
        <v>177</v>
      </c>
      <c r="G51" t="s">
        <v>184</v>
      </c>
      <c r="I51">
        <v>2200001285</v>
      </c>
      <c r="P51" t="s">
        <v>72</v>
      </c>
      <c r="Q51">
        <v>50</v>
      </c>
    </row>
    <row r="52" spans="3:17">
      <c r="C52" t="s">
        <v>68</v>
      </c>
      <c r="D52" t="s">
        <v>69</v>
      </c>
      <c r="E52" t="s">
        <v>177</v>
      </c>
      <c r="G52" t="s">
        <v>185</v>
      </c>
      <c r="I52">
        <v>2200000408</v>
      </c>
      <c r="P52" t="s">
        <v>72</v>
      </c>
      <c r="Q52">
        <v>130</v>
      </c>
    </row>
    <row r="53" spans="3:17">
      <c r="C53" t="s">
        <v>68</v>
      </c>
      <c r="D53" t="s">
        <v>69</v>
      </c>
      <c r="E53" t="s">
        <v>177</v>
      </c>
      <c r="G53" t="s">
        <v>186</v>
      </c>
      <c r="I53">
        <v>2200000531</v>
      </c>
      <c r="P53" t="s">
        <v>72</v>
      </c>
      <c r="Q53">
        <v>200</v>
      </c>
    </row>
    <row r="54" spans="3:17">
      <c r="C54" t="s">
        <v>68</v>
      </c>
      <c r="D54" t="s">
        <v>69</v>
      </c>
      <c r="E54" t="s">
        <v>177</v>
      </c>
      <c r="G54" t="s">
        <v>179</v>
      </c>
      <c r="I54">
        <v>2200000539</v>
      </c>
      <c r="P54" t="s">
        <v>72</v>
      </c>
      <c r="Q54">
        <v>200</v>
      </c>
    </row>
    <row r="55" spans="3:17">
      <c r="C55" t="s">
        <v>68</v>
      </c>
      <c r="D55" t="s">
        <v>69</v>
      </c>
      <c r="E55" t="s">
        <v>177</v>
      </c>
      <c r="G55" t="s">
        <v>181</v>
      </c>
      <c r="I55">
        <v>2200000567</v>
      </c>
      <c r="P55" t="s">
        <v>72</v>
      </c>
      <c r="Q55">
        <v>300</v>
      </c>
    </row>
    <row r="56" spans="3:17">
      <c r="C56" t="s">
        <v>68</v>
      </c>
      <c r="D56" t="s">
        <v>69</v>
      </c>
      <c r="E56" t="s">
        <v>177</v>
      </c>
      <c r="G56" t="s">
        <v>178</v>
      </c>
      <c r="I56">
        <v>2200000580</v>
      </c>
      <c r="P56" t="s">
        <v>72</v>
      </c>
      <c r="Q56">
        <v>500</v>
      </c>
    </row>
    <row r="57" spans="3:17">
      <c r="C57" t="s">
        <v>68</v>
      </c>
      <c r="D57" t="s">
        <v>69</v>
      </c>
      <c r="E57" t="s">
        <v>177</v>
      </c>
      <c r="G57" t="s">
        <v>187</v>
      </c>
      <c r="I57">
        <v>2200000715</v>
      </c>
      <c r="P57" t="s">
        <v>72</v>
      </c>
      <c r="Q57">
        <v>300</v>
      </c>
    </row>
    <row r="58" spans="3:17">
      <c r="C58" t="s">
        <v>68</v>
      </c>
      <c r="D58" t="s">
        <v>69</v>
      </c>
      <c r="E58" t="s">
        <v>177</v>
      </c>
      <c r="G58" t="s">
        <v>188</v>
      </c>
      <c r="I58">
        <v>2200000778</v>
      </c>
      <c r="P58" t="s">
        <v>72</v>
      </c>
      <c r="Q58">
        <v>300</v>
      </c>
    </row>
    <row r="59" spans="3:17">
      <c r="C59" t="s">
        <v>68</v>
      </c>
      <c r="D59" t="s">
        <v>69</v>
      </c>
      <c r="E59" t="s">
        <v>189</v>
      </c>
      <c r="G59" t="s">
        <v>190</v>
      </c>
      <c r="I59">
        <v>2200001141</v>
      </c>
      <c r="P59" t="s">
        <v>72</v>
      </c>
      <c r="Q59">
        <v>300</v>
      </c>
    </row>
    <row r="60" spans="3:17">
      <c r="C60" t="s">
        <v>68</v>
      </c>
      <c r="D60" t="s">
        <v>69</v>
      </c>
      <c r="E60" t="s">
        <v>191</v>
      </c>
      <c r="G60" t="s">
        <v>192</v>
      </c>
      <c r="I60">
        <v>2200001044</v>
      </c>
      <c r="P60" t="s">
        <v>72</v>
      </c>
      <c r="Q60">
        <v>50</v>
      </c>
    </row>
    <row r="61" spans="3:17">
      <c r="C61" t="s">
        <v>68</v>
      </c>
      <c r="D61" t="s">
        <v>69</v>
      </c>
      <c r="E61" t="s">
        <v>191</v>
      </c>
      <c r="G61" t="s">
        <v>193</v>
      </c>
      <c r="I61">
        <v>2200000437</v>
      </c>
      <c r="P61" t="s">
        <v>72</v>
      </c>
      <c r="Q61">
        <v>300</v>
      </c>
    </row>
    <row r="62" spans="3:17">
      <c r="C62" t="s">
        <v>68</v>
      </c>
      <c r="D62" t="s">
        <v>69</v>
      </c>
      <c r="E62" t="s">
        <v>194</v>
      </c>
      <c r="G62" t="s">
        <v>195</v>
      </c>
      <c r="I62" t="s">
        <v>196</v>
      </c>
      <c r="J62">
        <v>1200003110</v>
      </c>
      <c r="P62" t="s">
        <v>72</v>
      </c>
      <c r="Q62">
        <v>211.65</v>
      </c>
    </row>
    <row r="63" spans="3:17">
      <c r="C63" t="s">
        <v>68</v>
      </c>
      <c r="D63" t="s">
        <v>69</v>
      </c>
      <c r="E63" t="s">
        <v>194</v>
      </c>
      <c r="G63" t="s">
        <v>195</v>
      </c>
      <c r="I63" t="s">
        <v>197</v>
      </c>
      <c r="J63">
        <v>1200003109</v>
      </c>
      <c r="P63" t="s">
        <v>72</v>
      </c>
      <c r="Q63">
        <v>211.65</v>
      </c>
    </row>
    <row r="64" spans="3:17">
      <c r="C64" t="s">
        <v>68</v>
      </c>
      <c r="D64" t="s">
        <v>69</v>
      </c>
      <c r="E64" t="s">
        <v>194</v>
      </c>
      <c r="G64" t="s">
        <v>195</v>
      </c>
      <c r="I64" t="s">
        <v>198</v>
      </c>
      <c r="J64">
        <v>1200003120</v>
      </c>
      <c r="P64" t="s">
        <v>72</v>
      </c>
      <c r="Q64">
        <v>88.35</v>
      </c>
    </row>
    <row r="65" spans="3:17">
      <c r="C65" t="s">
        <v>68</v>
      </c>
      <c r="D65" t="s">
        <v>69</v>
      </c>
      <c r="E65" t="s">
        <v>194</v>
      </c>
      <c r="G65" t="s">
        <v>195</v>
      </c>
      <c r="I65" t="s">
        <v>199</v>
      </c>
      <c r="J65">
        <v>1200003122</v>
      </c>
      <c r="P65" t="s">
        <v>72</v>
      </c>
      <c r="Q65">
        <v>73.625</v>
      </c>
    </row>
    <row r="66" spans="3:17">
      <c r="C66" t="s">
        <v>68</v>
      </c>
      <c r="D66" t="s">
        <v>69</v>
      </c>
      <c r="E66" t="s">
        <v>194</v>
      </c>
      <c r="G66" t="s">
        <v>195</v>
      </c>
      <c r="I66" t="s">
        <v>200</v>
      </c>
      <c r="J66">
        <v>1200003121</v>
      </c>
      <c r="P66" t="s">
        <v>72</v>
      </c>
      <c r="Q66">
        <v>88.35</v>
      </c>
    </row>
    <row r="67" spans="3:17">
      <c r="C67" t="s">
        <v>68</v>
      </c>
      <c r="D67" t="s">
        <v>69</v>
      </c>
      <c r="E67" t="s">
        <v>194</v>
      </c>
      <c r="G67" t="s">
        <v>201</v>
      </c>
      <c r="I67" t="s">
        <v>202</v>
      </c>
      <c r="J67">
        <v>1200003357</v>
      </c>
      <c r="P67" t="s">
        <v>72</v>
      </c>
      <c r="Q67">
        <v>300</v>
      </c>
    </row>
    <row r="68" spans="3:17">
      <c r="C68" t="s">
        <v>68</v>
      </c>
      <c r="D68" t="s">
        <v>69</v>
      </c>
      <c r="E68" t="s">
        <v>194</v>
      </c>
      <c r="G68" t="s">
        <v>203</v>
      </c>
      <c r="I68" t="s">
        <v>204</v>
      </c>
      <c r="J68">
        <v>1200003505</v>
      </c>
      <c r="P68" t="s">
        <v>72</v>
      </c>
      <c r="Q68">
        <v>300</v>
      </c>
    </row>
    <row r="69" spans="3:17">
      <c r="C69" t="s">
        <v>68</v>
      </c>
      <c r="D69" t="s">
        <v>69</v>
      </c>
      <c r="E69" t="s">
        <v>194</v>
      </c>
      <c r="G69" t="s">
        <v>205</v>
      </c>
      <c r="I69" t="s">
        <v>206</v>
      </c>
      <c r="J69">
        <v>1200003586</v>
      </c>
      <c r="P69" t="s">
        <v>72</v>
      </c>
      <c r="Q69">
        <v>267</v>
      </c>
    </row>
    <row r="70" spans="3:17">
      <c r="C70" t="s">
        <v>68</v>
      </c>
      <c r="D70" t="s">
        <v>69</v>
      </c>
      <c r="E70" t="s">
        <v>194</v>
      </c>
      <c r="G70" t="s">
        <v>205</v>
      </c>
      <c r="I70" t="s">
        <v>207</v>
      </c>
      <c r="J70">
        <v>1200003843</v>
      </c>
      <c r="P70" t="s">
        <v>72</v>
      </c>
      <c r="Q70">
        <v>50</v>
      </c>
    </row>
    <row r="71" spans="3:17">
      <c r="C71" t="s">
        <v>68</v>
      </c>
      <c r="D71" t="s">
        <v>69</v>
      </c>
      <c r="E71" t="s">
        <v>194</v>
      </c>
      <c r="G71" t="s">
        <v>208</v>
      </c>
      <c r="I71" t="s">
        <v>209</v>
      </c>
      <c r="J71">
        <v>1200003882</v>
      </c>
      <c r="P71" t="s">
        <v>72</v>
      </c>
      <c r="Q71">
        <v>100</v>
      </c>
    </row>
    <row r="72" spans="3:17">
      <c r="C72" t="s">
        <v>68</v>
      </c>
      <c r="D72" t="s">
        <v>69</v>
      </c>
      <c r="E72" t="s">
        <v>194</v>
      </c>
      <c r="G72" t="s">
        <v>208</v>
      </c>
      <c r="I72" t="s">
        <v>210</v>
      </c>
      <c r="P72" t="s">
        <v>72</v>
      </c>
      <c r="Q72">
        <v>100</v>
      </c>
    </row>
    <row r="73" spans="3:17">
      <c r="C73" t="s">
        <v>68</v>
      </c>
      <c r="D73" t="s">
        <v>69</v>
      </c>
      <c r="E73" t="s">
        <v>194</v>
      </c>
      <c r="G73" t="s">
        <v>211</v>
      </c>
      <c r="I73">
        <v>1200002554</v>
      </c>
      <c r="P73" t="s">
        <v>72</v>
      </c>
      <c r="Q73">
        <v>300</v>
      </c>
    </row>
    <row r="74" spans="3:17">
      <c r="C74" t="s">
        <v>68</v>
      </c>
      <c r="D74" t="s">
        <v>69</v>
      </c>
      <c r="E74" t="s">
        <v>194</v>
      </c>
      <c r="G74" t="s">
        <v>212</v>
      </c>
      <c r="I74">
        <v>1200002742</v>
      </c>
      <c r="P74" t="s">
        <v>72</v>
      </c>
      <c r="Q74">
        <v>300</v>
      </c>
    </row>
    <row r="75" spans="3:17">
      <c r="C75" t="s">
        <v>68</v>
      </c>
      <c r="D75" t="s">
        <v>69</v>
      </c>
      <c r="E75" t="s">
        <v>194</v>
      </c>
      <c r="G75" t="s">
        <v>213</v>
      </c>
      <c r="I75">
        <v>1200002559</v>
      </c>
      <c r="P75" t="s">
        <v>72</v>
      </c>
      <c r="Q75">
        <v>100</v>
      </c>
    </row>
    <row r="76" spans="3:17">
      <c r="C76" t="s">
        <v>68</v>
      </c>
      <c r="D76" t="s">
        <v>69</v>
      </c>
      <c r="E76" t="s">
        <v>194</v>
      </c>
      <c r="G76" t="s">
        <v>214</v>
      </c>
      <c r="I76">
        <v>2200000037</v>
      </c>
      <c r="P76" t="s">
        <v>72</v>
      </c>
      <c r="Q76">
        <v>450</v>
      </c>
    </row>
    <row r="77" spans="3:17">
      <c r="C77" t="s">
        <v>68</v>
      </c>
      <c r="D77" t="s">
        <v>69</v>
      </c>
      <c r="E77" t="s">
        <v>215</v>
      </c>
      <c r="G77" t="s">
        <v>216</v>
      </c>
      <c r="I77">
        <v>2200000062</v>
      </c>
      <c r="P77" t="s">
        <v>72</v>
      </c>
      <c r="Q77">
        <v>300</v>
      </c>
    </row>
    <row r="78" spans="3:17">
      <c r="C78" t="s">
        <v>68</v>
      </c>
      <c r="D78" t="s">
        <v>69</v>
      </c>
      <c r="E78" t="s">
        <v>215</v>
      </c>
      <c r="G78" t="s">
        <v>217</v>
      </c>
      <c r="I78">
        <v>2200000118</v>
      </c>
      <c r="P78" t="s">
        <v>72</v>
      </c>
      <c r="Q78">
        <v>250</v>
      </c>
    </row>
    <row r="79" spans="3:17">
      <c r="C79" t="s">
        <v>68</v>
      </c>
      <c r="D79" t="s">
        <v>69</v>
      </c>
      <c r="E79" t="s">
        <v>215</v>
      </c>
      <c r="G79" t="s">
        <v>218</v>
      </c>
      <c r="I79">
        <v>2200000144</v>
      </c>
      <c r="P79" t="s">
        <v>72</v>
      </c>
      <c r="Q79">
        <v>300</v>
      </c>
    </row>
    <row r="80" spans="3:17">
      <c r="C80" t="s">
        <v>68</v>
      </c>
      <c r="D80" t="s">
        <v>69</v>
      </c>
      <c r="E80" t="s">
        <v>215</v>
      </c>
      <c r="G80" t="s">
        <v>219</v>
      </c>
      <c r="I80">
        <v>2200000192</v>
      </c>
      <c r="P80" t="s">
        <v>72</v>
      </c>
      <c r="Q80">
        <v>110</v>
      </c>
    </row>
    <row r="81" spans="3:17">
      <c r="C81" t="s">
        <v>68</v>
      </c>
      <c r="D81" t="s">
        <v>69</v>
      </c>
      <c r="E81" t="s">
        <v>215</v>
      </c>
      <c r="G81" t="s">
        <v>220</v>
      </c>
      <c r="I81">
        <v>2200000232</v>
      </c>
      <c r="P81" t="s">
        <v>72</v>
      </c>
      <c r="Q81">
        <v>300</v>
      </c>
    </row>
    <row r="82" spans="3:17">
      <c r="C82" t="s">
        <v>68</v>
      </c>
      <c r="D82" t="s">
        <v>69</v>
      </c>
      <c r="E82" t="s">
        <v>215</v>
      </c>
      <c r="G82" t="s">
        <v>221</v>
      </c>
      <c r="I82">
        <v>2200000275</v>
      </c>
      <c r="P82" t="s">
        <v>72</v>
      </c>
      <c r="Q82">
        <v>400</v>
      </c>
    </row>
    <row r="83" spans="3:17">
      <c r="C83" t="s">
        <v>68</v>
      </c>
      <c r="D83" t="s">
        <v>69</v>
      </c>
      <c r="E83" t="s">
        <v>215</v>
      </c>
      <c r="G83" t="s">
        <v>222</v>
      </c>
      <c r="I83">
        <v>2200000266</v>
      </c>
      <c r="P83" t="s">
        <v>72</v>
      </c>
      <c r="Q83">
        <v>650</v>
      </c>
    </row>
    <row r="84" spans="3:17">
      <c r="C84" t="s">
        <v>68</v>
      </c>
      <c r="D84" t="s">
        <v>69</v>
      </c>
      <c r="E84" t="s">
        <v>215</v>
      </c>
      <c r="G84" t="s">
        <v>219</v>
      </c>
      <c r="I84">
        <v>2200000300</v>
      </c>
      <c r="P84" t="s">
        <v>72</v>
      </c>
      <c r="Q84">
        <v>50</v>
      </c>
    </row>
    <row r="85" spans="3:17">
      <c r="C85" t="s">
        <v>68</v>
      </c>
      <c r="D85" t="s">
        <v>69</v>
      </c>
      <c r="E85" t="s">
        <v>215</v>
      </c>
      <c r="G85" t="s">
        <v>221</v>
      </c>
      <c r="I85">
        <v>2200000309</v>
      </c>
      <c r="P85" t="s">
        <v>72</v>
      </c>
      <c r="Q85">
        <v>400</v>
      </c>
    </row>
    <row r="86" spans="3:17">
      <c r="C86" t="s">
        <v>68</v>
      </c>
      <c r="D86" t="s">
        <v>69</v>
      </c>
      <c r="E86" t="s">
        <v>215</v>
      </c>
      <c r="G86" t="s">
        <v>223</v>
      </c>
      <c r="I86">
        <v>2200000360</v>
      </c>
      <c r="P86" t="s">
        <v>72</v>
      </c>
      <c r="Q86">
        <v>400</v>
      </c>
    </row>
    <row r="87" spans="3:17">
      <c r="C87" t="s">
        <v>68</v>
      </c>
      <c r="D87" t="s">
        <v>69</v>
      </c>
      <c r="E87" t="s">
        <v>215</v>
      </c>
      <c r="G87" t="s">
        <v>178</v>
      </c>
      <c r="I87">
        <v>2200000407</v>
      </c>
      <c r="P87" t="s">
        <v>72</v>
      </c>
      <c r="Q87">
        <v>1000</v>
      </c>
    </row>
    <row r="88" spans="3:17">
      <c r="C88" t="s">
        <v>68</v>
      </c>
      <c r="D88" t="s">
        <v>69</v>
      </c>
      <c r="E88" t="s">
        <v>224</v>
      </c>
      <c r="G88" t="s">
        <v>225</v>
      </c>
      <c r="I88" t="s">
        <v>226</v>
      </c>
      <c r="P88" t="s">
        <v>72</v>
      </c>
      <c r="Q88">
        <v>100</v>
      </c>
    </row>
    <row r="89" spans="3:17">
      <c r="C89" t="s">
        <v>68</v>
      </c>
      <c r="D89" t="s">
        <v>69</v>
      </c>
      <c r="E89" t="s">
        <v>224</v>
      </c>
      <c r="G89" t="s">
        <v>227</v>
      </c>
      <c r="I89" t="s">
        <v>228</v>
      </c>
      <c r="P89" t="s">
        <v>72</v>
      </c>
      <c r="Q89">
        <v>300</v>
      </c>
    </row>
    <row r="90" spans="3:17">
      <c r="C90" t="s">
        <v>68</v>
      </c>
      <c r="D90" t="s">
        <v>69</v>
      </c>
      <c r="E90" t="s">
        <v>224</v>
      </c>
      <c r="G90" t="s">
        <v>229</v>
      </c>
      <c r="I90" t="s">
        <v>230</v>
      </c>
      <c r="P90" t="s">
        <v>72</v>
      </c>
      <c r="Q90">
        <v>50</v>
      </c>
    </row>
    <row r="91" spans="3:17">
      <c r="C91" t="s">
        <v>68</v>
      </c>
      <c r="D91" t="s">
        <v>69</v>
      </c>
      <c r="E91" t="s">
        <v>224</v>
      </c>
      <c r="G91" t="s">
        <v>231</v>
      </c>
      <c r="I91">
        <v>1200003848</v>
      </c>
      <c r="P91" t="s">
        <v>72</v>
      </c>
      <c r="Q91">
        <v>550</v>
      </c>
    </row>
    <row r="92" spans="3:17">
      <c r="C92" t="s">
        <v>68</v>
      </c>
      <c r="D92" t="s">
        <v>69</v>
      </c>
      <c r="E92" t="s">
        <v>224</v>
      </c>
      <c r="G92" t="s">
        <v>231</v>
      </c>
      <c r="I92" t="s">
        <v>232</v>
      </c>
      <c r="P92" t="s">
        <v>72</v>
      </c>
      <c r="Q92">
        <v>450</v>
      </c>
    </row>
    <row r="93" spans="3:17">
      <c r="C93" t="s">
        <v>68</v>
      </c>
      <c r="D93" t="s">
        <v>69</v>
      </c>
      <c r="E93" t="s">
        <v>224</v>
      </c>
      <c r="G93" t="s">
        <v>233</v>
      </c>
      <c r="I93">
        <v>212100026</v>
      </c>
      <c r="P93" t="s">
        <v>72</v>
      </c>
      <c r="Q93">
        <v>340</v>
      </c>
    </row>
    <row r="94" spans="3:17">
      <c r="C94" t="s">
        <v>68</v>
      </c>
      <c r="D94" t="s">
        <v>69</v>
      </c>
      <c r="E94" t="s">
        <v>224</v>
      </c>
      <c r="G94" t="s">
        <v>234</v>
      </c>
      <c r="I94">
        <v>212100028</v>
      </c>
      <c r="P94" t="s">
        <v>72</v>
      </c>
      <c r="Q94">
        <v>300</v>
      </c>
    </row>
    <row r="95" spans="3:17">
      <c r="C95" t="s">
        <v>68</v>
      </c>
      <c r="D95" t="s">
        <v>69</v>
      </c>
      <c r="E95" t="s">
        <v>224</v>
      </c>
      <c r="G95" t="s">
        <v>235</v>
      </c>
      <c r="I95">
        <v>212100031</v>
      </c>
      <c r="P95" t="s">
        <v>72</v>
      </c>
      <c r="Q95">
        <v>50</v>
      </c>
    </row>
    <row r="96" spans="3:17">
      <c r="C96" t="s">
        <v>68</v>
      </c>
      <c r="D96" t="s">
        <v>69</v>
      </c>
      <c r="E96" t="s">
        <v>224</v>
      </c>
      <c r="G96" t="s">
        <v>236</v>
      </c>
      <c r="I96">
        <v>212100033</v>
      </c>
      <c r="P96" t="s">
        <v>72</v>
      </c>
      <c r="Q96">
        <v>300</v>
      </c>
    </row>
    <row r="97" spans="3:17">
      <c r="C97" t="s">
        <v>68</v>
      </c>
      <c r="D97" t="s">
        <v>69</v>
      </c>
      <c r="E97" t="s">
        <v>237</v>
      </c>
      <c r="G97" t="s">
        <v>188</v>
      </c>
      <c r="I97">
        <v>2200000516</v>
      </c>
      <c r="P97" t="s">
        <v>72</v>
      </c>
      <c r="Q97">
        <v>300</v>
      </c>
    </row>
    <row r="98" spans="3:17">
      <c r="C98" t="s">
        <v>68</v>
      </c>
      <c r="D98" t="s">
        <v>69</v>
      </c>
      <c r="E98" t="s">
        <v>237</v>
      </c>
      <c r="G98" t="s">
        <v>188</v>
      </c>
      <c r="I98">
        <v>2200000521</v>
      </c>
      <c r="P98" t="s">
        <v>72</v>
      </c>
      <c r="Q98">
        <v>200</v>
      </c>
    </row>
    <row r="99" spans="3:17">
      <c r="C99" t="s">
        <v>68</v>
      </c>
      <c r="D99" t="s">
        <v>69</v>
      </c>
      <c r="E99" t="s">
        <v>237</v>
      </c>
      <c r="G99" t="s">
        <v>188</v>
      </c>
      <c r="I99">
        <v>2200000522</v>
      </c>
      <c r="P99" t="s">
        <v>72</v>
      </c>
      <c r="Q99">
        <v>300</v>
      </c>
    </row>
    <row r="100" spans="3:17">
      <c r="C100" t="s">
        <v>68</v>
      </c>
      <c r="D100" t="s">
        <v>69</v>
      </c>
      <c r="E100" t="s">
        <v>237</v>
      </c>
      <c r="G100" t="s">
        <v>238</v>
      </c>
      <c r="I100">
        <v>2200000761</v>
      </c>
      <c r="P100" t="s">
        <v>72</v>
      </c>
      <c r="Q100">
        <v>300</v>
      </c>
    </row>
    <row r="101" spans="3:17">
      <c r="C101" t="s">
        <v>68</v>
      </c>
      <c r="D101" t="s">
        <v>69</v>
      </c>
      <c r="E101" t="s">
        <v>237</v>
      </c>
      <c r="G101" t="s">
        <v>180</v>
      </c>
      <c r="I101">
        <v>2200000811</v>
      </c>
      <c r="P101" t="s">
        <v>72</v>
      </c>
      <c r="Q101">
        <v>765</v>
      </c>
    </row>
    <row r="102" spans="3:17">
      <c r="C102" t="s">
        <v>68</v>
      </c>
      <c r="D102" t="s">
        <v>69</v>
      </c>
      <c r="E102" t="s">
        <v>237</v>
      </c>
      <c r="G102" t="s">
        <v>239</v>
      </c>
      <c r="I102">
        <v>2200000875</v>
      </c>
      <c r="P102" t="s">
        <v>72</v>
      </c>
      <c r="Q102">
        <v>300</v>
      </c>
    </row>
    <row r="103" spans="3:17">
      <c r="C103" t="s">
        <v>68</v>
      </c>
      <c r="D103" t="s">
        <v>69</v>
      </c>
      <c r="E103" t="s">
        <v>237</v>
      </c>
      <c r="G103" t="s">
        <v>178</v>
      </c>
      <c r="I103">
        <v>2200001085</v>
      </c>
      <c r="P103" t="s">
        <v>72</v>
      </c>
      <c r="Q103">
        <v>700</v>
      </c>
    </row>
    <row r="104" spans="3:17">
      <c r="C104" t="s">
        <v>68</v>
      </c>
      <c r="D104" t="s">
        <v>69</v>
      </c>
      <c r="E104" t="s">
        <v>237</v>
      </c>
      <c r="G104" t="s">
        <v>240</v>
      </c>
      <c r="I104">
        <v>2200000910</v>
      </c>
      <c r="P104" t="s">
        <v>72</v>
      </c>
      <c r="Q104">
        <v>250</v>
      </c>
    </row>
    <row r="105" spans="3:17">
      <c r="C105" t="s">
        <v>68</v>
      </c>
      <c r="D105" t="s">
        <v>69</v>
      </c>
      <c r="E105" t="s">
        <v>237</v>
      </c>
      <c r="G105" t="s">
        <v>240</v>
      </c>
      <c r="I105">
        <v>2200001284</v>
      </c>
      <c r="P105" t="s">
        <v>72</v>
      </c>
      <c r="Q105">
        <v>50</v>
      </c>
    </row>
    <row r="106" spans="3:17">
      <c r="C106" t="s">
        <v>68</v>
      </c>
      <c r="D106" t="s">
        <v>69</v>
      </c>
      <c r="E106" t="s">
        <v>241</v>
      </c>
      <c r="G106" t="s">
        <v>242</v>
      </c>
      <c r="I106">
        <v>2200000284</v>
      </c>
      <c r="P106" t="s">
        <v>72</v>
      </c>
      <c r="Q106">
        <v>300</v>
      </c>
    </row>
    <row r="107" spans="3:17">
      <c r="C107" t="s">
        <v>68</v>
      </c>
      <c r="D107" t="s">
        <v>69</v>
      </c>
      <c r="E107" t="s">
        <v>243</v>
      </c>
      <c r="G107" t="s">
        <v>244</v>
      </c>
      <c r="I107">
        <v>1200003115</v>
      </c>
      <c r="P107" t="s">
        <v>72</v>
      </c>
      <c r="Q107">
        <v>70</v>
      </c>
    </row>
    <row r="108" spans="3:17">
      <c r="C108" t="s">
        <v>68</v>
      </c>
      <c r="D108" t="s">
        <v>69</v>
      </c>
      <c r="E108" t="s">
        <v>243</v>
      </c>
      <c r="G108" t="s">
        <v>245</v>
      </c>
      <c r="I108">
        <v>1200003301</v>
      </c>
      <c r="P108" t="s">
        <v>72</v>
      </c>
      <c r="Q108">
        <v>300</v>
      </c>
    </row>
    <row r="109" spans="3:17">
      <c r="C109" t="s">
        <v>68</v>
      </c>
      <c r="D109" t="s">
        <v>69</v>
      </c>
      <c r="E109" t="s">
        <v>243</v>
      </c>
      <c r="G109" t="s">
        <v>244</v>
      </c>
      <c r="I109">
        <v>1200003772</v>
      </c>
      <c r="P109" t="s">
        <v>72</v>
      </c>
      <c r="Q109">
        <v>105</v>
      </c>
    </row>
    <row r="110" spans="3:17">
      <c r="C110" t="s">
        <v>68</v>
      </c>
      <c r="D110" t="s">
        <v>69</v>
      </c>
      <c r="E110" t="s">
        <v>243</v>
      </c>
      <c r="G110" t="s">
        <v>244</v>
      </c>
      <c r="I110">
        <v>312100003</v>
      </c>
      <c r="P110" t="s">
        <v>72</v>
      </c>
      <c r="Q110">
        <v>125</v>
      </c>
    </row>
    <row r="111" spans="3:17">
      <c r="C111" t="s">
        <v>68</v>
      </c>
      <c r="D111" t="s">
        <v>69</v>
      </c>
      <c r="E111" t="s">
        <v>246</v>
      </c>
      <c r="G111" t="s">
        <v>203</v>
      </c>
      <c r="I111" t="s">
        <v>247</v>
      </c>
      <c r="J111">
        <v>1200003829</v>
      </c>
      <c r="P111" t="s">
        <v>72</v>
      </c>
      <c r="Q111">
        <v>300</v>
      </c>
    </row>
    <row r="112" spans="3:17">
      <c r="C112" t="s">
        <v>68</v>
      </c>
      <c r="D112" t="s">
        <v>69</v>
      </c>
      <c r="E112" t="s">
        <v>246</v>
      </c>
      <c r="G112" t="s">
        <v>248</v>
      </c>
      <c r="I112" t="s">
        <v>249</v>
      </c>
      <c r="J112">
        <v>1200003937</v>
      </c>
      <c r="P112" t="s">
        <v>72</v>
      </c>
      <c r="Q112">
        <v>1000</v>
      </c>
    </row>
    <row r="113" spans="3:17">
      <c r="C113" t="s">
        <v>68</v>
      </c>
      <c r="D113" t="s">
        <v>69</v>
      </c>
      <c r="E113" t="s">
        <v>246</v>
      </c>
      <c r="G113" t="s">
        <v>250</v>
      </c>
      <c r="I113" t="s">
        <v>251</v>
      </c>
      <c r="J113">
        <v>412100004</v>
      </c>
      <c r="P113" t="s">
        <v>72</v>
      </c>
      <c r="Q113">
        <v>62</v>
      </c>
    </row>
    <row r="114" spans="3:17">
      <c r="C114" t="s">
        <v>68</v>
      </c>
      <c r="D114" t="s">
        <v>69</v>
      </c>
      <c r="E114" t="s">
        <v>246</v>
      </c>
      <c r="G114" t="s">
        <v>252</v>
      </c>
      <c r="I114" t="s">
        <v>253</v>
      </c>
      <c r="J114">
        <v>412100006</v>
      </c>
      <c r="P114" t="s">
        <v>72</v>
      </c>
      <c r="Q114">
        <v>300</v>
      </c>
    </row>
    <row r="115" spans="3:17">
      <c r="C115" t="s">
        <v>68</v>
      </c>
      <c r="D115" t="s">
        <v>69</v>
      </c>
      <c r="E115" t="s">
        <v>246</v>
      </c>
      <c r="G115" t="s">
        <v>254</v>
      </c>
      <c r="I115" t="s">
        <v>255</v>
      </c>
      <c r="J115">
        <v>412100008</v>
      </c>
      <c r="P115" t="s">
        <v>72</v>
      </c>
      <c r="Q115">
        <v>100</v>
      </c>
    </row>
    <row r="116" spans="3:17">
      <c r="C116" t="s">
        <v>68</v>
      </c>
      <c r="D116" t="s">
        <v>69</v>
      </c>
      <c r="E116" t="s">
        <v>246</v>
      </c>
      <c r="G116" t="s">
        <v>256</v>
      </c>
      <c r="I116" t="s">
        <v>257</v>
      </c>
      <c r="P116" t="s">
        <v>72</v>
      </c>
      <c r="Q116">
        <v>62</v>
      </c>
    </row>
    <row r="117" spans="3:17">
      <c r="C117" t="s">
        <v>68</v>
      </c>
      <c r="D117" t="s">
        <v>69</v>
      </c>
      <c r="E117" t="s">
        <v>246</v>
      </c>
      <c r="G117" t="s">
        <v>258</v>
      </c>
      <c r="I117" t="s">
        <v>259</v>
      </c>
      <c r="J117">
        <v>1200003935</v>
      </c>
      <c r="P117" t="s">
        <v>72</v>
      </c>
      <c r="Q117">
        <v>200</v>
      </c>
    </row>
    <row r="118" spans="3:17">
      <c r="C118" t="s">
        <v>68</v>
      </c>
      <c r="D118" t="s">
        <v>69</v>
      </c>
      <c r="E118" t="s">
        <v>246</v>
      </c>
      <c r="G118" t="s">
        <v>260</v>
      </c>
      <c r="I118" t="s">
        <v>261</v>
      </c>
      <c r="P118" t="s">
        <v>72</v>
      </c>
      <c r="Q118">
        <v>62</v>
      </c>
    </row>
    <row r="119" spans="3:17">
      <c r="C119" t="s">
        <v>68</v>
      </c>
      <c r="D119" t="s">
        <v>69</v>
      </c>
      <c r="E119" t="s">
        <v>246</v>
      </c>
      <c r="G119" t="s">
        <v>262</v>
      </c>
      <c r="I119">
        <v>412100025</v>
      </c>
      <c r="P119" t="s">
        <v>72</v>
      </c>
      <c r="Q119">
        <v>226</v>
      </c>
    </row>
    <row r="120" spans="3:17">
      <c r="C120" t="s">
        <v>68</v>
      </c>
      <c r="D120" t="s">
        <v>69</v>
      </c>
      <c r="E120" t="s">
        <v>246</v>
      </c>
      <c r="G120" t="s">
        <v>263</v>
      </c>
      <c r="I120">
        <v>1200003233</v>
      </c>
      <c r="P120" t="s">
        <v>72</v>
      </c>
      <c r="Q120">
        <v>290</v>
      </c>
    </row>
    <row r="121" spans="3:17">
      <c r="C121" t="s">
        <v>68</v>
      </c>
      <c r="D121" t="s">
        <v>69</v>
      </c>
      <c r="E121" t="s">
        <v>246</v>
      </c>
      <c r="G121" t="s">
        <v>263</v>
      </c>
      <c r="I121">
        <v>1200003389</v>
      </c>
      <c r="P121" t="s">
        <v>72</v>
      </c>
      <c r="Q121">
        <v>45</v>
      </c>
    </row>
    <row r="122" spans="3:17">
      <c r="C122" t="s">
        <v>68</v>
      </c>
      <c r="D122" t="s">
        <v>69</v>
      </c>
      <c r="E122" t="s">
        <v>246</v>
      </c>
      <c r="G122" t="s">
        <v>260</v>
      </c>
      <c r="I122">
        <v>1200003624</v>
      </c>
      <c r="P122" t="s">
        <v>72</v>
      </c>
      <c r="Q122">
        <v>38</v>
      </c>
    </row>
    <row r="123" spans="3:17">
      <c r="C123" t="s">
        <v>68</v>
      </c>
      <c r="D123" t="s">
        <v>69</v>
      </c>
      <c r="E123" t="s">
        <v>246</v>
      </c>
      <c r="G123" t="s">
        <v>256</v>
      </c>
      <c r="I123">
        <v>1200003625</v>
      </c>
      <c r="P123" t="s">
        <v>72</v>
      </c>
      <c r="Q123">
        <v>38</v>
      </c>
    </row>
    <row r="124" spans="3:17">
      <c r="C124" t="s">
        <v>68</v>
      </c>
      <c r="D124" t="s">
        <v>69</v>
      </c>
      <c r="E124" t="s">
        <v>246</v>
      </c>
      <c r="G124" t="s">
        <v>250</v>
      </c>
      <c r="I124">
        <v>1200003626</v>
      </c>
      <c r="P124" t="s">
        <v>72</v>
      </c>
      <c r="Q124">
        <v>38</v>
      </c>
    </row>
    <row r="125" spans="3:17">
      <c r="C125" t="s">
        <v>68</v>
      </c>
      <c r="D125" t="s">
        <v>69</v>
      </c>
      <c r="E125" t="s">
        <v>246</v>
      </c>
      <c r="G125" t="s">
        <v>264</v>
      </c>
      <c r="I125">
        <v>1200003390</v>
      </c>
      <c r="P125" t="s">
        <v>72</v>
      </c>
      <c r="Q125">
        <v>300</v>
      </c>
    </row>
    <row r="126" spans="3:17">
      <c r="C126" t="s">
        <v>68</v>
      </c>
      <c r="D126" t="s">
        <v>69</v>
      </c>
      <c r="E126" t="s">
        <v>246</v>
      </c>
      <c r="G126" t="s">
        <v>265</v>
      </c>
      <c r="I126">
        <v>1200003893</v>
      </c>
      <c r="P126" t="s">
        <v>72</v>
      </c>
      <c r="Q126">
        <v>100</v>
      </c>
    </row>
    <row r="127" spans="3:17">
      <c r="C127" t="s">
        <v>68</v>
      </c>
      <c r="D127" t="s">
        <v>69</v>
      </c>
      <c r="E127" t="s">
        <v>246</v>
      </c>
      <c r="G127" t="s">
        <v>266</v>
      </c>
      <c r="I127">
        <v>1200003785</v>
      </c>
      <c r="P127" t="s">
        <v>72</v>
      </c>
      <c r="Q127">
        <v>400</v>
      </c>
    </row>
    <row r="128" spans="3:17">
      <c r="C128" t="s">
        <v>68</v>
      </c>
      <c r="D128" t="s">
        <v>69</v>
      </c>
      <c r="E128" t="s">
        <v>246</v>
      </c>
      <c r="G128" t="s">
        <v>266</v>
      </c>
      <c r="I128" t="s">
        <v>267</v>
      </c>
      <c r="P128" t="s">
        <v>72</v>
      </c>
      <c r="Q128">
        <v>150</v>
      </c>
    </row>
    <row r="129" spans="3:17">
      <c r="C129" t="s">
        <v>68</v>
      </c>
      <c r="D129" t="s">
        <v>69</v>
      </c>
      <c r="E129" t="s">
        <v>246</v>
      </c>
      <c r="G129" t="s">
        <v>268</v>
      </c>
      <c r="I129">
        <v>1200003628</v>
      </c>
      <c r="P129" t="s">
        <v>72</v>
      </c>
      <c r="Q129">
        <v>100</v>
      </c>
    </row>
    <row r="130" spans="3:17">
      <c r="C130" t="s">
        <v>68</v>
      </c>
      <c r="D130" t="s">
        <v>69</v>
      </c>
      <c r="E130" t="s">
        <v>246</v>
      </c>
      <c r="G130" t="s">
        <v>268</v>
      </c>
      <c r="I130">
        <v>1200003838</v>
      </c>
      <c r="P130" t="s">
        <v>72</v>
      </c>
      <c r="Q130">
        <v>120</v>
      </c>
    </row>
    <row r="131" spans="3:17">
      <c r="C131" t="s">
        <v>68</v>
      </c>
      <c r="D131" t="s">
        <v>69</v>
      </c>
      <c r="E131" t="s">
        <v>246</v>
      </c>
      <c r="G131" t="s">
        <v>269</v>
      </c>
      <c r="I131">
        <v>1200003623</v>
      </c>
      <c r="P131" t="s">
        <v>72</v>
      </c>
      <c r="Q131">
        <v>50</v>
      </c>
    </row>
    <row r="132" spans="3:17">
      <c r="C132" t="s">
        <v>68</v>
      </c>
      <c r="D132" t="s">
        <v>69</v>
      </c>
      <c r="E132" t="s">
        <v>246</v>
      </c>
      <c r="G132" t="s">
        <v>262</v>
      </c>
      <c r="I132">
        <v>1200003770</v>
      </c>
      <c r="P132" t="s">
        <v>72</v>
      </c>
      <c r="Q132">
        <v>114</v>
      </c>
    </row>
    <row r="133" spans="3:17">
      <c r="C133" t="s">
        <v>68</v>
      </c>
      <c r="D133" t="s">
        <v>69</v>
      </c>
      <c r="E133" t="s">
        <v>246</v>
      </c>
      <c r="G133" t="s">
        <v>262</v>
      </c>
      <c r="I133">
        <v>1200003839</v>
      </c>
      <c r="P133" t="s">
        <v>72</v>
      </c>
      <c r="Q133">
        <v>60</v>
      </c>
    </row>
    <row r="134" spans="3:17">
      <c r="C134" t="s">
        <v>68</v>
      </c>
      <c r="D134" t="s">
        <v>69</v>
      </c>
      <c r="E134" t="s">
        <v>246</v>
      </c>
      <c r="G134" t="s">
        <v>266</v>
      </c>
      <c r="I134" t="s">
        <v>270</v>
      </c>
      <c r="P134" t="s">
        <v>72</v>
      </c>
      <c r="Q134">
        <v>50</v>
      </c>
    </row>
    <row r="135" spans="3:17">
      <c r="C135" t="s">
        <v>68</v>
      </c>
      <c r="D135" t="s">
        <v>69</v>
      </c>
      <c r="E135" t="s">
        <v>246</v>
      </c>
      <c r="G135" t="s">
        <v>271</v>
      </c>
      <c r="I135">
        <v>212100005</v>
      </c>
      <c r="P135" t="s">
        <v>72</v>
      </c>
      <c r="Q135">
        <v>100</v>
      </c>
    </row>
    <row r="136" spans="3:17">
      <c r="C136" t="s">
        <v>68</v>
      </c>
      <c r="D136" t="s">
        <v>69</v>
      </c>
      <c r="E136" t="s">
        <v>272</v>
      </c>
      <c r="G136" t="s">
        <v>273</v>
      </c>
      <c r="P136" t="s">
        <v>72</v>
      </c>
      <c r="Q136">
        <v>350</v>
      </c>
    </row>
    <row r="137" spans="3:17">
      <c r="C137" t="s">
        <v>68</v>
      </c>
      <c r="D137" t="s">
        <v>69</v>
      </c>
      <c r="E137" t="s">
        <v>274</v>
      </c>
      <c r="G137" t="s">
        <v>273</v>
      </c>
      <c r="P137" t="s">
        <v>72</v>
      </c>
      <c r="Q137">
        <v>150</v>
      </c>
    </row>
    <row r="138" spans="3:17">
      <c r="C138" t="s">
        <v>68</v>
      </c>
      <c r="D138" t="s">
        <v>69</v>
      </c>
      <c r="E138" t="s">
        <v>275</v>
      </c>
      <c r="G138" t="s">
        <v>273</v>
      </c>
      <c r="I138" t="s">
        <v>276</v>
      </c>
      <c r="P138" t="s">
        <v>72</v>
      </c>
      <c r="Q138">
        <v>200</v>
      </c>
    </row>
    <row r="139" spans="3:17">
      <c r="C139" t="s">
        <v>68</v>
      </c>
      <c r="D139" t="s">
        <v>69</v>
      </c>
      <c r="E139" t="s">
        <v>277</v>
      </c>
      <c r="G139" t="s">
        <v>278</v>
      </c>
      <c r="I139">
        <v>2200000073</v>
      </c>
      <c r="P139" t="s">
        <v>72</v>
      </c>
      <c r="Q139">
        <v>150</v>
      </c>
    </row>
    <row r="140" spans="3:17">
      <c r="C140" t="s">
        <v>68</v>
      </c>
      <c r="D140" t="s">
        <v>69</v>
      </c>
      <c r="E140" t="s">
        <v>277</v>
      </c>
      <c r="G140" t="s">
        <v>279</v>
      </c>
      <c r="I140">
        <v>2200000111</v>
      </c>
      <c r="P140" t="s">
        <v>72</v>
      </c>
      <c r="Q140">
        <v>400</v>
      </c>
    </row>
    <row r="141" spans="3:17">
      <c r="C141" t="s">
        <v>68</v>
      </c>
      <c r="D141" t="s">
        <v>69</v>
      </c>
      <c r="E141" t="s">
        <v>277</v>
      </c>
      <c r="G141" t="s">
        <v>279</v>
      </c>
      <c r="I141">
        <v>2200000163</v>
      </c>
      <c r="P141" t="s">
        <v>72</v>
      </c>
      <c r="Q141">
        <v>1000</v>
      </c>
    </row>
    <row r="142" spans="3:17">
      <c r="C142" t="s">
        <v>68</v>
      </c>
      <c r="D142" t="s">
        <v>69</v>
      </c>
      <c r="E142" t="s">
        <v>277</v>
      </c>
      <c r="G142" t="s">
        <v>280</v>
      </c>
      <c r="I142">
        <v>2200000172</v>
      </c>
      <c r="P142" t="s">
        <v>72</v>
      </c>
      <c r="Q142">
        <v>50</v>
      </c>
    </row>
    <row r="143" spans="3:17">
      <c r="C143" t="s">
        <v>68</v>
      </c>
      <c r="D143" t="s">
        <v>69</v>
      </c>
      <c r="E143" t="s">
        <v>277</v>
      </c>
      <c r="G143" t="s">
        <v>280</v>
      </c>
      <c r="I143">
        <v>2200000227</v>
      </c>
      <c r="P143" t="s">
        <v>72</v>
      </c>
      <c r="Q143">
        <v>50</v>
      </c>
    </row>
    <row r="144" spans="3:17">
      <c r="C144" t="s">
        <v>68</v>
      </c>
      <c r="D144" t="s">
        <v>69</v>
      </c>
      <c r="E144" t="s">
        <v>277</v>
      </c>
      <c r="G144" t="s">
        <v>280</v>
      </c>
      <c r="I144">
        <v>2200000228</v>
      </c>
      <c r="P144" t="s">
        <v>72</v>
      </c>
      <c r="Q144">
        <v>50</v>
      </c>
    </row>
    <row r="145" spans="3:17">
      <c r="C145" t="s">
        <v>68</v>
      </c>
      <c r="D145" t="s">
        <v>69</v>
      </c>
      <c r="E145" t="s">
        <v>277</v>
      </c>
      <c r="G145" t="s">
        <v>281</v>
      </c>
      <c r="I145">
        <v>2200000098</v>
      </c>
      <c r="P145" t="s">
        <v>72</v>
      </c>
      <c r="Q145">
        <v>1000</v>
      </c>
    </row>
    <row r="146" spans="3:17">
      <c r="C146" t="s">
        <v>68</v>
      </c>
      <c r="D146" t="s">
        <v>69</v>
      </c>
      <c r="E146" t="s">
        <v>277</v>
      </c>
      <c r="G146" t="s">
        <v>181</v>
      </c>
      <c r="I146">
        <v>2200000179</v>
      </c>
      <c r="P146" t="s">
        <v>72</v>
      </c>
      <c r="Q146">
        <v>500</v>
      </c>
    </row>
    <row r="147" spans="3:17">
      <c r="C147" t="s">
        <v>68</v>
      </c>
      <c r="D147" t="s">
        <v>69</v>
      </c>
      <c r="E147" t="s">
        <v>277</v>
      </c>
      <c r="G147" t="s">
        <v>282</v>
      </c>
      <c r="I147">
        <v>2200000184</v>
      </c>
      <c r="P147" t="s">
        <v>72</v>
      </c>
      <c r="Q147">
        <v>300</v>
      </c>
    </row>
    <row r="148" spans="3:17">
      <c r="C148" t="s">
        <v>68</v>
      </c>
      <c r="D148" t="s">
        <v>69</v>
      </c>
      <c r="E148" t="s">
        <v>277</v>
      </c>
      <c r="G148" t="s">
        <v>283</v>
      </c>
      <c r="I148">
        <v>2200000221</v>
      </c>
      <c r="P148" t="s">
        <v>72</v>
      </c>
      <c r="Q148">
        <v>100</v>
      </c>
    </row>
    <row r="149" spans="3:17">
      <c r="C149" t="s">
        <v>68</v>
      </c>
      <c r="D149" t="s">
        <v>69</v>
      </c>
      <c r="E149" t="s">
        <v>277</v>
      </c>
      <c r="G149" t="s">
        <v>284</v>
      </c>
      <c r="I149">
        <v>2200000167</v>
      </c>
      <c r="P149" t="s">
        <v>72</v>
      </c>
      <c r="Q149">
        <v>150</v>
      </c>
    </row>
    <row r="150" spans="3:17">
      <c r="C150" t="s">
        <v>68</v>
      </c>
      <c r="D150" t="s">
        <v>69</v>
      </c>
      <c r="E150" t="s">
        <v>277</v>
      </c>
      <c r="G150" t="s">
        <v>280</v>
      </c>
      <c r="I150">
        <v>2200000164</v>
      </c>
      <c r="P150" t="s">
        <v>72</v>
      </c>
      <c r="Q150">
        <v>50</v>
      </c>
    </row>
    <row r="151" spans="3:17">
      <c r="C151" t="s">
        <v>68</v>
      </c>
      <c r="D151" t="s">
        <v>69</v>
      </c>
      <c r="E151" t="s">
        <v>285</v>
      </c>
      <c r="G151" t="s">
        <v>286</v>
      </c>
      <c r="I151">
        <v>212100042</v>
      </c>
      <c r="P151" t="s">
        <v>72</v>
      </c>
      <c r="Q151">
        <v>217</v>
      </c>
    </row>
    <row r="152" spans="3:17">
      <c r="C152" t="s">
        <v>68</v>
      </c>
      <c r="D152" t="s">
        <v>69</v>
      </c>
      <c r="E152" t="s">
        <v>285</v>
      </c>
      <c r="G152" t="s">
        <v>287</v>
      </c>
      <c r="I152">
        <v>212100025</v>
      </c>
      <c r="P152" t="s">
        <v>72</v>
      </c>
      <c r="Q152">
        <v>300</v>
      </c>
    </row>
    <row r="153" spans="3:17">
      <c r="C153" t="s">
        <v>68</v>
      </c>
      <c r="D153" t="s">
        <v>69</v>
      </c>
      <c r="E153" t="s">
        <v>288</v>
      </c>
      <c r="G153" t="s">
        <v>289</v>
      </c>
      <c r="I153">
        <v>2200000423</v>
      </c>
      <c r="P153" t="s">
        <v>72</v>
      </c>
      <c r="Q153">
        <v>1000</v>
      </c>
    </row>
    <row r="154" spans="3:17">
      <c r="C154" t="s">
        <v>68</v>
      </c>
      <c r="D154" t="s">
        <v>69</v>
      </c>
      <c r="E154" t="s">
        <v>288</v>
      </c>
      <c r="G154" t="s">
        <v>290</v>
      </c>
      <c r="I154">
        <v>2200000419</v>
      </c>
      <c r="P154" t="s">
        <v>72</v>
      </c>
      <c r="Q154">
        <v>300</v>
      </c>
    </row>
    <row r="155" spans="3:17">
      <c r="C155" t="s">
        <v>68</v>
      </c>
      <c r="D155" t="s">
        <v>69</v>
      </c>
      <c r="E155" t="s">
        <v>288</v>
      </c>
      <c r="G155" t="s">
        <v>181</v>
      </c>
      <c r="I155">
        <v>2200000244</v>
      </c>
      <c r="P155" t="s">
        <v>72</v>
      </c>
      <c r="Q155">
        <v>150</v>
      </c>
    </row>
    <row r="156" spans="3:17">
      <c r="C156" t="s">
        <v>68</v>
      </c>
      <c r="D156" t="s">
        <v>69</v>
      </c>
      <c r="E156" t="s">
        <v>288</v>
      </c>
      <c r="G156" t="s">
        <v>291</v>
      </c>
      <c r="I156">
        <v>2200000013</v>
      </c>
      <c r="P156" t="s">
        <v>72</v>
      </c>
      <c r="Q156">
        <v>50</v>
      </c>
    </row>
    <row r="157" spans="3:17">
      <c r="C157" t="s">
        <v>68</v>
      </c>
      <c r="D157" t="s">
        <v>69</v>
      </c>
      <c r="E157" t="s">
        <v>288</v>
      </c>
      <c r="G157" t="s">
        <v>292</v>
      </c>
      <c r="I157">
        <v>2200000210</v>
      </c>
      <c r="P157" t="s">
        <v>72</v>
      </c>
      <c r="Q157">
        <v>300</v>
      </c>
    </row>
    <row r="158" spans="3:17">
      <c r="C158" t="s">
        <v>68</v>
      </c>
      <c r="D158" t="s">
        <v>69</v>
      </c>
      <c r="E158" t="s">
        <v>288</v>
      </c>
      <c r="G158" t="s">
        <v>291</v>
      </c>
      <c r="I158">
        <v>2200000254</v>
      </c>
      <c r="P158" t="s">
        <v>72</v>
      </c>
      <c r="Q158">
        <v>600</v>
      </c>
    </row>
    <row r="159" spans="3:17">
      <c r="C159" t="s">
        <v>68</v>
      </c>
      <c r="D159" t="s">
        <v>69</v>
      </c>
      <c r="E159" t="s">
        <v>288</v>
      </c>
      <c r="G159" t="s">
        <v>178</v>
      </c>
      <c r="I159">
        <v>2200000289</v>
      </c>
      <c r="P159" t="s">
        <v>72</v>
      </c>
      <c r="Q159">
        <v>300</v>
      </c>
    </row>
    <row r="160" spans="3:17">
      <c r="C160" t="s">
        <v>68</v>
      </c>
      <c r="D160" t="s">
        <v>69</v>
      </c>
      <c r="E160" t="s">
        <v>288</v>
      </c>
      <c r="G160" t="s">
        <v>293</v>
      </c>
      <c r="I160">
        <v>2200000306</v>
      </c>
      <c r="P160" t="s">
        <v>72</v>
      </c>
      <c r="Q160">
        <v>250</v>
      </c>
    </row>
    <row r="161" spans="3:17">
      <c r="C161" t="s">
        <v>68</v>
      </c>
      <c r="D161" t="s">
        <v>69</v>
      </c>
      <c r="E161" t="s">
        <v>288</v>
      </c>
      <c r="G161" t="s">
        <v>181</v>
      </c>
      <c r="I161">
        <v>2200000308</v>
      </c>
      <c r="P161" t="s">
        <v>72</v>
      </c>
      <c r="Q161">
        <v>700</v>
      </c>
    </row>
    <row r="162" spans="3:17">
      <c r="C162" t="s">
        <v>68</v>
      </c>
      <c r="D162" t="s">
        <v>69</v>
      </c>
      <c r="E162" t="s">
        <v>288</v>
      </c>
      <c r="G162" t="s">
        <v>294</v>
      </c>
      <c r="I162">
        <v>2200000334</v>
      </c>
      <c r="P162" t="s">
        <v>72</v>
      </c>
      <c r="Q162">
        <v>300</v>
      </c>
    </row>
    <row r="163" spans="3:17">
      <c r="C163" t="s">
        <v>68</v>
      </c>
      <c r="D163" t="s">
        <v>69</v>
      </c>
      <c r="E163" t="s">
        <v>288</v>
      </c>
      <c r="G163" t="s">
        <v>295</v>
      </c>
      <c r="I163">
        <v>2200000319</v>
      </c>
      <c r="P163" t="s">
        <v>72</v>
      </c>
      <c r="Q163">
        <v>300</v>
      </c>
    </row>
    <row r="164" spans="3:17">
      <c r="C164" t="s">
        <v>68</v>
      </c>
      <c r="D164" t="s">
        <v>69</v>
      </c>
      <c r="E164" t="s">
        <v>288</v>
      </c>
      <c r="G164" t="s">
        <v>290</v>
      </c>
      <c r="I164">
        <v>2200000333</v>
      </c>
      <c r="P164" t="s">
        <v>72</v>
      </c>
      <c r="Q164">
        <v>300</v>
      </c>
    </row>
    <row r="165" spans="3:17">
      <c r="C165" t="s">
        <v>68</v>
      </c>
      <c r="D165" t="s">
        <v>69</v>
      </c>
      <c r="E165" t="s">
        <v>288</v>
      </c>
      <c r="G165" t="s">
        <v>296</v>
      </c>
      <c r="I165">
        <v>2200000343</v>
      </c>
      <c r="P165" t="s">
        <v>72</v>
      </c>
      <c r="Q165">
        <v>300</v>
      </c>
    </row>
    <row r="166" spans="3:17">
      <c r="C166" t="s">
        <v>68</v>
      </c>
      <c r="D166" t="s">
        <v>69</v>
      </c>
      <c r="E166" t="s">
        <v>288</v>
      </c>
      <c r="G166" t="s">
        <v>297</v>
      </c>
      <c r="I166">
        <v>2200000344</v>
      </c>
      <c r="P166" t="s">
        <v>72</v>
      </c>
      <c r="Q166">
        <v>300</v>
      </c>
    </row>
    <row r="167" spans="3:17">
      <c r="C167" t="s">
        <v>68</v>
      </c>
      <c r="D167" t="s">
        <v>69</v>
      </c>
      <c r="E167" t="s">
        <v>288</v>
      </c>
      <c r="G167" t="s">
        <v>181</v>
      </c>
      <c r="I167">
        <v>2200000373</v>
      </c>
      <c r="P167" t="s">
        <v>72</v>
      </c>
      <c r="Q167">
        <v>400</v>
      </c>
    </row>
    <row r="168" spans="3:17">
      <c r="C168" t="s">
        <v>68</v>
      </c>
      <c r="D168" t="s">
        <v>69</v>
      </c>
      <c r="E168" t="s">
        <v>288</v>
      </c>
      <c r="G168" t="s">
        <v>181</v>
      </c>
      <c r="I168">
        <v>2200000358</v>
      </c>
      <c r="P168" t="s">
        <v>72</v>
      </c>
      <c r="Q168">
        <v>250</v>
      </c>
    </row>
    <row r="169" spans="3:17">
      <c r="C169" t="s">
        <v>68</v>
      </c>
      <c r="D169" t="s">
        <v>69</v>
      </c>
      <c r="E169" t="s">
        <v>288</v>
      </c>
      <c r="G169" t="s">
        <v>181</v>
      </c>
      <c r="I169">
        <v>2200000420</v>
      </c>
      <c r="P169" t="s">
        <v>72</v>
      </c>
      <c r="Q169">
        <v>1000</v>
      </c>
    </row>
    <row r="170" spans="3:17">
      <c r="C170" t="s">
        <v>68</v>
      </c>
      <c r="D170" t="s">
        <v>69</v>
      </c>
      <c r="E170" t="s">
        <v>288</v>
      </c>
      <c r="G170" t="s">
        <v>298</v>
      </c>
      <c r="I170">
        <v>2200000285</v>
      </c>
      <c r="P170" t="s">
        <v>72</v>
      </c>
      <c r="Q170">
        <v>300</v>
      </c>
    </row>
    <row r="171" spans="3:17">
      <c r="C171" t="s">
        <v>68</v>
      </c>
      <c r="D171" t="s">
        <v>69</v>
      </c>
      <c r="E171" t="s">
        <v>299</v>
      </c>
      <c r="G171" t="s">
        <v>300</v>
      </c>
      <c r="I171">
        <v>2200000475</v>
      </c>
      <c r="P171" t="s">
        <v>72</v>
      </c>
      <c r="Q171">
        <v>400</v>
      </c>
    </row>
    <row r="172" spans="3:17">
      <c r="C172" t="s">
        <v>68</v>
      </c>
      <c r="D172" t="s">
        <v>69</v>
      </c>
      <c r="E172" t="s">
        <v>299</v>
      </c>
      <c r="G172" t="s">
        <v>296</v>
      </c>
      <c r="I172">
        <v>2200000484</v>
      </c>
      <c r="P172" t="s">
        <v>72</v>
      </c>
      <c r="Q172">
        <v>100</v>
      </c>
    </row>
    <row r="173" spans="3:17">
      <c r="C173" t="s">
        <v>68</v>
      </c>
      <c r="D173" t="s">
        <v>69</v>
      </c>
      <c r="E173" t="s">
        <v>299</v>
      </c>
      <c r="G173" t="s">
        <v>296</v>
      </c>
      <c r="I173">
        <v>2200000540</v>
      </c>
      <c r="P173" t="s">
        <v>72</v>
      </c>
      <c r="Q173">
        <v>150</v>
      </c>
    </row>
    <row r="174" spans="3:17">
      <c r="C174" t="s">
        <v>68</v>
      </c>
      <c r="D174" t="s">
        <v>69</v>
      </c>
      <c r="E174" t="s">
        <v>299</v>
      </c>
      <c r="G174" t="s">
        <v>291</v>
      </c>
      <c r="I174">
        <v>2200000561</v>
      </c>
      <c r="P174" t="s">
        <v>72</v>
      </c>
      <c r="Q174">
        <v>136</v>
      </c>
    </row>
    <row r="175" spans="3:17">
      <c r="C175" t="s">
        <v>68</v>
      </c>
      <c r="D175" t="s">
        <v>69</v>
      </c>
      <c r="E175" t="s">
        <v>299</v>
      </c>
      <c r="G175" t="s">
        <v>181</v>
      </c>
      <c r="I175">
        <v>2200000726</v>
      </c>
      <c r="P175" t="s">
        <v>72</v>
      </c>
      <c r="Q175">
        <v>1000</v>
      </c>
    </row>
    <row r="176" spans="3:17">
      <c r="C176" t="s">
        <v>68</v>
      </c>
      <c r="D176" t="s">
        <v>69</v>
      </c>
      <c r="E176" t="s">
        <v>299</v>
      </c>
      <c r="G176" t="s">
        <v>301</v>
      </c>
      <c r="I176">
        <v>2200000755</v>
      </c>
      <c r="P176" t="s">
        <v>72</v>
      </c>
      <c r="Q176">
        <v>100</v>
      </c>
    </row>
    <row r="177" spans="3:17">
      <c r="C177" t="s">
        <v>68</v>
      </c>
      <c r="D177" t="s">
        <v>69</v>
      </c>
      <c r="E177" t="s">
        <v>299</v>
      </c>
      <c r="G177" t="s">
        <v>302</v>
      </c>
      <c r="I177">
        <v>2200000796</v>
      </c>
      <c r="P177" t="s">
        <v>72</v>
      </c>
      <c r="Q177">
        <v>300</v>
      </c>
    </row>
    <row r="178" spans="3:17">
      <c r="C178" t="s">
        <v>68</v>
      </c>
      <c r="D178" t="s">
        <v>69</v>
      </c>
      <c r="E178" t="s">
        <v>299</v>
      </c>
      <c r="G178" t="s">
        <v>303</v>
      </c>
      <c r="I178">
        <v>2200000866</v>
      </c>
      <c r="P178" t="s">
        <v>72</v>
      </c>
      <c r="Q178">
        <v>300</v>
      </c>
    </row>
    <row r="179" spans="3:17">
      <c r="C179" t="s">
        <v>68</v>
      </c>
      <c r="D179" t="s">
        <v>69</v>
      </c>
      <c r="E179" t="s">
        <v>299</v>
      </c>
      <c r="G179" t="s">
        <v>280</v>
      </c>
      <c r="I179">
        <v>2200001021</v>
      </c>
      <c r="P179" t="s">
        <v>72</v>
      </c>
      <c r="Q179">
        <v>350</v>
      </c>
    </row>
    <row r="180" spans="3:17">
      <c r="C180" t="s">
        <v>68</v>
      </c>
      <c r="D180" t="s">
        <v>69</v>
      </c>
      <c r="E180" t="s">
        <v>299</v>
      </c>
      <c r="G180" t="s">
        <v>175</v>
      </c>
      <c r="I180">
        <v>2200001056</v>
      </c>
      <c r="P180" t="s">
        <v>72</v>
      </c>
      <c r="Q180">
        <v>400</v>
      </c>
    </row>
    <row r="181" spans="3:17">
      <c r="C181" t="s">
        <v>68</v>
      </c>
      <c r="D181" t="s">
        <v>69</v>
      </c>
      <c r="E181" t="s">
        <v>299</v>
      </c>
      <c r="G181" t="s">
        <v>304</v>
      </c>
      <c r="I181">
        <v>2200001261</v>
      </c>
      <c r="P181" t="s">
        <v>72</v>
      </c>
      <c r="Q181">
        <v>300</v>
      </c>
    </row>
    <row r="182" spans="3:17">
      <c r="C182" t="s">
        <v>68</v>
      </c>
      <c r="D182" t="s">
        <v>69</v>
      </c>
      <c r="E182" t="s">
        <v>299</v>
      </c>
      <c r="G182" t="s">
        <v>304</v>
      </c>
      <c r="I182">
        <v>2200001262</v>
      </c>
      <c r="P182" t="s">
        <v>72</v>
      </c>
      <c r="Q182">
        <v>300</v>
      </c>
    </row>
    <row r="183" spans="3:17">
      <c r="C183" t="s">
        <v>68</v>
      </c>
      <c r="D183" t="s">
        <v>69</v>
      </c>
      <c r="E183" t="s">
        <v>299</v>
      </c>
      <c r="G183" t="s">
        <v>305</v>
      </c>
      <c r="I183">
        <v>2200001254</v>
      </c>
      <c r="P183" t="s">
        <v>72</v>
      </c>
      <c r="Q183">
        <v>560</v>
      </c>
    </row>
    <row r="184" spans="3:17">
      <c r="C184" t="s">
        <v>68</v>
      </c>
      <c r="D184" t="s">
        <v>69</v>
      </c>
      <c r="E184" t="s">
        <v>306</v>
      </c>
      <c r="G184" t="s">
        <v>169</v>
      </c>
      <c r="I184">
        <v>2200000387</v>
      </c>
      <c r="P184" t="s">
        <v>72</v>
      </c>
      <c r="Q184">
        <v>600</v>
      </c>
    </row>
    <row r="185" spans="3:17">
      <c r="C185" t="s">
        <v>68</v>
      </c>
      <c r="D185" t="s">
        <v>69</v>
      </c>
      <c r="E185" t="s">
        <v>306</v>
      </c>
      <c r="G185" t="s">
        <v>169</v>
      </c>
      <c r="I185">
        <v>2200000396</v>
      </c>
      <c r="P185" t="s">
        <v>72</v>
      </c>
      <c r="Q185">
        <v>250</v>
      </c>
    </row>
    <row r="186" spans="3:17">
      <c r="C186" t="s">
        <v>68</v>
      </c>
      <c r="D186" t="s">
        <v>69</v>
      </c>
      <c r="E186" t="s">
        <v>306</v>
      </c>
      <c r="G186" t="s">
        <v>169</v>
      </c>
      <c r="I186">
        <v>2200001065</v>
      </c>
      <c r="P186" t="s">
        <v>72</v>
      </c>
      <c r="Q186">
        <v>150</v>
      </c>
    </row>
    <row r="187" spans="3:17">
      <c r="C187" t="s">
        <v>68</v>
      </c>
      <c r="D187" t="s">
        <v>69</v>
      </c>
      <c r="E187" t="s">
        <v>307</v>
      </c>
      <c r="G187" t="s">
        <v>195</v>
      </c>
      <c r="I187" t="s">
        <v>308</v>
      </c>
      <c r="J187">
        <v>1200003124</v>
      </c>
      <c r="P187" t="s">
        <v>72</v>
      </c>
      <c r="Q187">
        <v>44.17</v>
      </c>
    </row>
    <row r="188" spans="3:17">
      <c r="C188" t="s">
        <v>68</v>
      </c>
      <c r="D188" t="s">
        <v>69</v>
      </c>
      <c r="E188" t="s">
        <v>307</v>
      </c>
      <c r="G188" t="s">
        <v>195</v>
      </c>
      <c r="I188" t="s">
        <v>309</v>
      </c>
      <c r="J188">
        <v>1200003248</v>
      </c>
      <c r="P188" t="s">
        <v>72</v>
      </c>
      <c r="Q188">
        <v>63.5</v>
      </c>
    </row>
    <row r="189" spans="3:17">
      <c r="C189" t="s">
        <v>68</v>
      </c>
      <c r="D189" t="s">
        <v>69</v>
      </c>
      <c r="E189" t="s">
        <v>307</v>
      </c>
      <c r="G189" t="s">
        <v>195</v>
      </c>
      <c r="I189" t="s">
        <v>310</v>
      </c>
      <c r="J189">
        <v>1200003314</v>
      </c>
      <c r="P189" t="s">
        <v>72</v>
      </c>
      <c r="Q189">
        <v>26.5</v>
      </c>
    </row>
    <row r="190" spans="3:17">
      <c r="C190" t="s">
        <v>68</v>
      </c>
      <c r="D190" t="s">
        <v>69</v>
      </c>
      <c r="E190" t="s">
        <v>307</v>
      </c>
      <c r="G190" t="s">
        <v>311</v>
      </c>
      <c r="I190" t="s">
        <v>312</v>
      </c>
      <c r="J190">
        <v>1200003684</v>
      </c>
      <c r="P190" t="s">
        <v>72</v>
      </c>
      <c r="Q190">
        <v>500</v>
      </c>
    </row>
    <row r="191" spans="3:17">
      <c r="C191" t="s">
        <v>68</v>
      </c>
      <c r="D191" t="s">
        <v>69</v>
      </c>
      <c r="E191" t="s">
        <v>307</v>
      </c>
      <c r="G191" t="s">
        <v>313</v>
      </c>
      <c r="I191" t="s">
        <v>314</v>
      </c>
      <c r="J191">
        <v>1200003947</v>
      </c>
      <c r="P191" t="s">
        <v>72</v>
      </c>
      <c r="Q191">
        <v>300</v>
      </c>
    </row>
    <row r="192" spans="3:17">
      <c r="C192" t="s">
        <v>68</v>
      </c>
      <c r="D192" t="s">
        <v>69</v>
      </c>
      <c r="E192" t="s">
        <v>315</v>
      </c>
      <c r="G192" t="s">
        <v>316</v>
      </c>
      <c r="I192">
        <v>212100039</v>
      </c>
      <c r="P192" t="s">
        <v>317</v>
      </c>
      <c r="Q192">
        <v>250</v>
      </c>
    </row>
    <row r="193" spans="3:17">
      <c r="C193" t="s">
        <v>68</v>
      </c>
      <c r="D193" t="s">
        <v>69</v>
      </c>
      <c r="E193" t="s">
        <v>315</v>
      </c>
      <c r="G193" t="s">
        <v>316</v>
      </c>
      <c r="I193">
        <v>212100040</v>
      </c>
      <c r="P193" t="s">
        <v>317</v>
      </c>
      <c r="Q193">
        <v>250</v>
      </c>
    </row>
    <row r="194" spans="3:17">
      <c r="C194" t="s">
        <v>68</v>
      </c>
      <c r="D194" t="s">
        <v>69</v>
      </c>
      <c r="E194" t="s">
        <v>318</v>
      </c>
      <c r="G194" t="s">
        <v>319</v>
      </c>
      <c r="I194">
        <v>1200003502</v>
      </c>
      <c r="P194" t="s">
        <v>72</v>
      </c>
      <c r="Q194">
        <v>250</v>
      </c>
    </row>
    <row r="195" spans="3:17">
      <c r="C195" t="s">
        <v>68</v>
      </c>
      <c r="D195" t="s">
        <v>69</v>
      </c>
      <c r="E195" t="s">
        <v>318</v>
      </c>
      <c r="G195" t="s">
        <v>320</v>
      </c>
      <c r="I195">
        <v>1200002746</v>
      </c>
      <c r="P195" t="s">
        <v>72</v>
      </c>
      <c r="Q195">
        <v>210</v>
      </c>
    </row>
    <row r="196" spans="3:17">
      <c r="C196" t="s">
        <v>68</v>
      </c>
      <c r="D196" t="s">
        <v>69</v>
      </c>
      <c r="E196" t="s">
        <v>318</v>
      </c>
      <c r="G196" t="s">
        <v>321</v>
      </c>
      <c r="I196">
        <v>1200002778</v>
      </c>
      <c r="P196" t="s">
        <v>72</v>
      </c>
      <c r="Q196">
        <v>210</v>
      </c>
    </row>
    <row r="197" spans="3:17">
      <c r="C197" t="s">
        <v>68</v>
      </c>
      <c r="D197" t="s">
        <v>69</v>
      </c>
      <c r="E197" t="s">
        <v>318</v>
      </c>
      <c r="G197" t="s">
        <v>322</v>
      </c>
      <c r="I197">
        <v>1200003447</v>
      </c>
      <c r="P197" t="s">
        <v>72</v>
      </c>
      <c r="Q197">
        <v>300</v>
      </c>
    </row>
    <row r="198" spans="3:17">
      <c r="C198" t="s">
        <v>68</v>
      </c>
      <c r="D198" t="s">
        <v>69</v>
      </c>
      <c r="E198" t="s">
        <v>318</v>
      </c>
      <c r="G198" t="s">
        <v>323</v>
      </c>
      <c r="I198">
        <v>1200003488</v>
      </c>
      <c r="P198" t="s">
        <v>72</v>
      </c>
      <c r="Q198">
        <v>200</v>
      </c>
    </row>
    <row r="199" spans="3:17">
      <c r="C199" t="s">
        <v>68</v>
      </c>
      <c r="D199" t="s">
        <v>69</v>
      </c>
      <c r="E199" t="s">
        <v>318</v>
      </c>
      <c r="G199" t="s">
        <v>323</v>
      </c>
      <c r="I199">
        <v>1200003496</v>
      </c>
      <c r="P199" t="s">
        <v>72</v>
      </c>
      <c r="Q199">
        <v>100</v>
      </c>
    </row>
    <row r="200" spans="3:17">
      <c r="C200" t="s">
        <v>68</v>
      </c>
      <c r="D200" t="s">
        <v>69</v>
      </c>
      <c r="E200" t="s">
        <v>318</v>
      </c>
      <c r="G200" t="s">
        <v>324</v>
      </c>
      <c r="I200">
        <v>1200003504</v>
      </c>
      <c r="P200" t="s">
        <v>72</v>
      </c>
      <c r="Q200">
        <v>100</v>
      </c>
    </row>
    <row r="201" spans="3:17">
      <c r="C201" t="s">
        <v>68</v>
      </c>
      <c r="D201" t="s">
        <v>69</v>
      </c>
      <c r="E201" t="s">
        <v>318</v>
      </c>
      <c r="G201" t="s">
        <v>324</v>
      </c>
      <c r="I201" t="s">
        <v>325</v>
      </c>
      <c r="P201" t="s">
        <v>72</v>
      </c>
      <c r="Q201">
        <v>100</v>
      </c>
    </row>
    <row r="202" spans="3:17">
      <c r="C202" t="s">
        <v>68</v>
      </c>
      <c r="D202" t="s">
        <v>69</v>
      </c>
      <c r="E202" t="s">
        <v>318</v>
      </c>
      <c r="G202" t="s">
        <v>326</v>
      </c>
      <c r="I202">
        <v>1200002907</v>
      </c>
      <c r="P202" t="s">
        <v>72</v>
      </c>
      <c r="Q202">
        <v>125</v>
      </c>
    </row>
    <row r="203" spans="3:17">
      <c r="C203" t="s">
        <v>68</v>
      </c>
      <c r="D203" t="s">
        <v>69</v>
      </c>
      <c r="E203" t="s">
        <v>318</v>
      </c>
      <c r="G203" t="s">
        <v>326</v>
      </c>
      <c r="I203">
        <v>1200002939</v>
      </c>
      <c r="P203" t="s">
        <v>72</v>
      </c>
      <c r="Q203">
        <v>80</v>
      </c>
    </row>
    <row r="204" spans="3:17">
      <c r="C204" t="s">
        <v>68</v>
      </c>
      <c r="D204" t="s">
        <v>69</v>
      </c>
      <c r="E204" t="s">
        <v>318</v>
      </c>
      <c r="G204" t="s">
        <v>327</v>
      </c>
      <c r="I204" t="s">
        <v>328</v>
      </c>
      <c r="P204" t="s">
        <v>72</v>
      </c>
      <c r="Q204">
        <v>200</v>
      </c>
    </row>
    <row r="205" spans="3:17">
      <c r="C205" t="s">
        <v>68</v>
      </c>
      <c r="D205" t="s">
        <v>69</v>
      </c>
      <c r="E205" t="s">
        <v>318</v>
      </c>
      <c r="G205" t="s">
        <v>218</v>
      </c>
      <c r="I205">
        <v>2200000020</v>
      </c>
      <c r="P205" t="s">
        <v>72</v>
      </c>
      <c r="Q205">
        <v>300</v>
      </c>
    </row>
    <row r="206" spans="3:17">
      <c r="C206" t="s">
        <v>68</v>
      </c>
      <c r="D206" t="s">
        <v>69</v>
      </c>
      <c r="E206" t="s">
        <v>318</v>
      </c>
      <c r="G206" t="s">
        <v>329</v>
      </c>
      <c r="I206">
        <v>2200000024</v>
      </c>
      <c r="P206" t="s">
        <v>72</v>
      </c>
      <c r="Q206">
        <v>400</v>
      </c>
    </row>
    <row r="207" spans="3:17">
      <c r="C207" t="s">
        <v>68</v>
      </c>
      <c r="D207" t="s">
        <v>69</v>
      </c>
      <c r="E207" t="s">
        <v>318</v>
      </c>
      <c r="G207" t="s">
        <v>330</v>
      </c>
      <c r="I207">
        <v>2200000116</v>
      </c>
      <c r="P207" t="s">
        <v>72</v>
      </c>
      <c r="Q207">
        <v>400</v>
      </c>
    </row>
    <row r="208" spans="3:17">
      <c r="C208" t="s">
        <v>68</v>
      </c>
      <c r="D208" t="s">
        <v>69</v>
      </c>
      <c r="E208" t="s">
        <v>318</v>
      </c>
      <c r="G208" t="s">
        <v>168</v>
      </c>
      <c r="I208">
        <v>2200000123</v>
      </c>
      <c r="P208" t="s">
        <v>72</v>
      </c>
      <c r="Q208">
        <v>95</v>
      </c>
    </row>
    <row r="209" spans="3:17">
      <c r="C209" t="s">
        <v>68</v>
      </c>
      <c r="D209" t="s">
        <v>69</v>
      </c>
      <c r="E209" t="s">
        <v>318</v>
      </c>
      <c r="G209" t="s">
        <v>331</v>
      </c>
      <c r="I209">
        <v>212100034</v>
      </c>
      <c r="P209" t="s">
        <v>72</v>
      </c>
      <c r="Q209">
        <v>300</v>
      </c>
    </row>
    <row r="210" spans="3:17">
      <c r="C210" t="s">
        <v>68</v>
      </c>
      <c r="D210" t="s">
        <v>69</v>
      </c>
      <c r="E210" t="s">
        <v>318</v>
      </c>
      <c r="G210" t="s">
        <v>331</v>
      </c>
      <c r="I210">
        <v>212100036</v>
      </c>
      <c r="P210" t="s">
        <v>72</v>
      </c>
      <c r="Q210">
        <v>300</v>
      </c>
    </row>
    <row r="211" spans="3:17">
      <c r="C211" t="s">
        <v>68</v>
      </c>
      <c r="D211" t="s">
        <v>69</v>
      </c>
      <c r="E211" t="s">
        <v>332</v>
      </c>
      <c r="G211" t="s">
        <v>333</v>
      </c>
      <c r="I211" t="s">
        <v>334</v>
      </c>
      <c r="J211">
        <v>1200003269</v>
      </c>
      <c r="P211" t="s">
        <v>72</v>
      </c>
      <c r="Q211">
        <v>400</v>
      </c>
    </row>
    <row r="212" spans="3:17">
      <c r="C212" t="s">
        <v>68</v>
      </c>
      <c r="D212" t="s">
        <v>69</v>
      </c>
      <c r="E212" t="s">
        <v>332</v>
      </c>
      <c r="G212" t="s">
        <v>335</v>
      </c>
      <c r="I212" t="s">
        <v>336</v>
      </c>
      <c r="J212">
        <v>1200003096</v>
      </c>
      <c r="P212" t="s">
        <v>72</v>
      </c>
      <c r="Q212">
        <v>400</v>
      </c>
    </row>
    <row r="213" spans="3:17">
      <c r="C213" t="s">
        <v>68</v>
      </c>
      <c r="D213" t="s">
        <v>69</v>
      </c>
      <c r="E213" t="s">
        <v>332</v>
      </c>
      <c r="G213" t="s">
        <v>337</v>
      </c>
      <c r="I213" t="s">
        <v>338</v>
      </c>
      <c r="J213">
        <v>1200003879</v>
      </c>
      <c r="P213" t="s">
        <v>72</v>
      </c>
      <c r="Q213">
        <v>100</v>
      </c>
    </row>
    <row r="214" spans="3:17">
      <c r="C214" t="s">
        <v>68</v>
      </c>
      <c r="D214" t="s">
        <v>69</v>
      </c>
      <c r="E214" t="s">
        <v>332</v>
      </c>
      <c r="G214" t="s">
        <v>339</v>
      </c>
      <c r="I214" t="s">
        <v>340</v>
      </c>
      <c r="J214">
        <v>1200003931</v>
      </c>
      <c r="P214" t="s">
        <v>72</v>
      </c>
      <c r="Q214">
        <v>300</v>
      </c>
    </row>
    <row r="215" spans="3:17">
      <c r="C215" t="s">
        <v>68</v>
      </c>
      <c r="D215" t="s">
        <v>69</v>
      </c>
      <c r="E215" t="s">
        <v>332</v>
      </c>
      <c r="G215" t="s">
        <v>341</v>
      </c>
      <c r="I215" t="s">
        <v>342</v>
      </c>
      <c r="J215">
        <v>412100007</v>
      </c>
      <c r="P215" t="s">
        <v>72</v>
      </c>
      <c r="Q215">
        <v>200</v>
      </c>
    </row>
    <row r="216" spans="3:17">
      <c r="C216" t="s">
        <v>68</v>
      </c>
      <c r="D216" t="s">
        <v>69</v>
      </c>
      <c r="E216" t="s">
        <v>332</v>
      </c>
      <c r="G216" t="s">
        <v>205</v>
      </c>
      <c r="I216" t="s">
        <v>343</v>
      </c>
      <c r="J216">
        <v>412100002</v>
      </c>
      <c r="P216" t="s">
        <v>72</v>
      </c>
      <c r="Q216">
        <v>100</v>
      </c>
    </row>
    <row r="217" spans="3:17">
      <c r="C217" t="s">
        <v>68</v>
      </c>
      <c r="D217" t="s">
        <v>69</v>
      </c>
      <c r="E217" t="s">
        <v>344</v>
      </c>
      <c r="G217" t="s">
        <v>345</v>
      </c>
      <c r="I217">
        <v>2200000065</v>
      </c>
      <c r="P217" t="s">
        <v>72</v>
      </c>
      <c r="Q217">
        <v>100</v>
      </c>
    </row>
    <row r="218" spans="3:17">
      <c r="C218" t="s">
        <v>68</v>
      </c>
      <c r="D218" t="s">
        <v>69</v>
      </c>
      <c r="E218" t="s">
        <v>344</v>
      </c>
      <c r="G218" t="s">
        <v>346</v>
      </c>
      <c r="I218">
        <v>2200000102</v>
      </c>
      <c r="P218" t="s">
        <v>183</v>
      </c>
      <c r="Q218">
        <v>180.8</v>
      </c>
    </row>
    <row r="219" spans="3:17">
      <c r="C219" t="s">
        <v>68</v>
      </c>
      <c r="D219" t="s">
        <v>69</v>
      </c>
      <c r="E219" t="s">
        <v>344</v>
      </c>
      <c r="G219" t="s">
        <v>347</v>
      </c>
      <c r="I219">
        <v>2200000063</v>
      </c>
      <c r="P219" t="s">
        <v>72</v>
      </c>
      <c r="Q219">
        <v>300</v>
      </c>
    </row>
    <row r="220" spans="3:17">
      <c r="C220" t="s">
        <v>68</v>
      </c>
      <c r="D220" t="s">
        <v>69</v>
      </c>
      <c r="E220" t="s">
        <v>348</v>
      </c>
      <c r="G220" t="s">
        <v>178</v>
      </c>
      <c r="I220">
        <v>2200000077</v>
      </c>
      <c r="P220" t="s">
        <v>183</v>
      </c>
      <c r="Q220">
        <v>50</v>
      </c>
    </row>
    <row r="221" spans="3:17">
      <c r="C221" t="s">
        <v>68</v>
      </c>
      <c r="D221" t="s">
        <v>69</v>
      </c>
      <c r="E221" t="s">
        <v>348</v>
      </c>
      <c r="G221" t="s">
        <v>349</v>
      </c>
      <c r="I221">
        <v>2200000103</v>
      </c>
      <c r="P221" t="s">
        <v>183</v>
      </c>
      <c r="Q221">
        <v>300</v>
      </c>
    </row>
    <row r="222" spans="3:17">
      <c r="C222" t="s">
        <v>68</v>
      </c>
      <c r="D222" t="s">
        <v>69</v>
      </c>
      <c r="E222" t="s">
        <v>348</v>
      </c>
      <c r="G222" t="s">
        <v>350</v>
      </c>
      <c r="I222">
        <v>2200000120</v>
      </c>
      <c r="P222" t="s">
        <v>72</v>
      </c>
      <c r="Q222">
        <v>100</v>
      </c>
    </row>
    <row r="223" spans="3:17">
      <c r="C223" t="s">
        <v>68</v>
      </c>
      <c r="D223" t="s">
        <v>69</v>
      </c>
      <c r="E223" t="s">
        <v>348</v>
      </c>
      <c r="G223" t="s">
        <v>351</v>
      </c>
      <c r="I223">
        <v>2200000212</v>
      </c>
      <c r="P223" t="s">
        <v>72</v>
      </c>
      <c r="Q223">
        <v>300</v>
      </c>
    </row>
    <row r="224" spans="3:17">
      <c r="C224" t="s">
        <v>68</v>
      </c>
      <c r="D224" t="s">
        <v>69</v>
      </c>
      <c r="E224" t="s">
        <v>348</v>
      </c>
      <c r="G224" t="s">
        <v>352</v>
      </c>
      <c r="I224">
        <v>2200000140</v>
      </c>
      <c r="P224" t="s">
        <v>72</v>
      </c>
      <c r="Q224">
        <v>260</v>
      </c>
    </row>
    <row r="225" spans="3:17">
      <c r="C225" t="s">
        <v>68</v>
      </c>
      <c r="D225" t="s">
        <v>69</v>
      </c>
      <c r="E225" t="s">
        <v>348</v>
      </c>
      <c r="G225" t="s">
        <v>353</v>
      </c>
      <c r="I225">
        <v>2200000138</v>
      </c>
      <c r="P225" t="s">
        <v>183</v>
      </c>
      <c r="Q225">
        <v>390</v>
      </c>
    </row>
    <row r="226" spans="3:17">
      <c r="C226" t="s">
        <v>68</v>
      </c>
      <c r="D226" t="s">
        <v>69</v>
      </c>
      <c r="E226" t="s">
        <v>348</v>
      </c>
      <c r="G226" t="s">
        <v>188</v>
      </c>
      <c r="I226">
        <v>2200000187</v>
      </c>
      <c r="P226" t="s">
        <v>72</v>
      </c>
      <c r="Q226">
        <v>300</v>
      </c>
    </row>
    <row r="227" spans="3:17">
      <c r="C227" t="s">
        <v>68</v>
      </c>
      <c r="D227" t="s">
        <v>69</v>
      </c>
      <c r="E227" t="s">
        <v>348</v>
      </c>
      <c r="G227" t="s">
        <v>354</v>
      </c>
      <c r="I227">
        <v>2200000355</v>
      </c>
      <c r="P227" t="s">
        <v>72</v>
      </c>
      <c r="Q227">
        <v>300</v>
      </c>
    </row>
    <row r="228" spans="3:17">
      <c r="C228" t="s">
        <v>68</v>
      </c>
      <c r="D228" t="s">
        <v>69</v>
      </c>
      <c r="E228" t="s">
        <v>348</v>
      </c>
      <c r="G228" t="s">
        <v>181</v>
      </c>
      <c r="I228">
        <v>2200000348</v>
      </c>
      <c r="P228" t="s">
        <v>72</v>
      </c>
      <c r="Q228">
        <v>900</v>
      </c>
    </row>
    <row r="229" spans="3:17">
      <c r="C229" t="s">
        <v>68</v>
      </c>
      <c r="D229" t="s">
        <v>69</v>
      </c>
      <c r="E229" t="s">
        <v>348</v>
      </c>
      <c r="G229" t="s">
        <v>355</v>
      </c>
      <c r="I229">
        <v>2200000054</v>
      </c>
      <c r="P229" t="s">
        <v>72</v>
      </c>
      <c r="Q229">
        <v>300</v>
      </c>
    </row>
    <row r="230" spans="3:17">
      <c r="C230" t="s">
        <v>68</v>
      </c>
      <c r="D230" t="s">
        <v>69</v>
      </c>
      <c r="E230" t="s">
        <v>348</v>
      </c>
      <c r="G230" t="s">
        <v>356</v>
      </c>
      <c r="I230">
        <v>2200000067</v>
      </c>
      <c r="P230" t="s">
        <v>72</v>
      </c>
      <c r="Q230">
        <v>300</v>
      </c>
    </row>
    <row r="231" spans="3:17">
      <c r="C231" t="s">
        <v>68</v>
      </c>
      <c r="D231" t="s">
        <v>69</v>
      </c>
      <c r="E231" t="s">
        <v>348</v>
      </c>
      <c r="G231" t="s">
        <v>188</v>
      </c>
      <c r="I231">
        <v>2200000186</v>
      </c>
      <c r="P231" t="s">
        <v>72</v>
      </c>
      <c r="Q231">
        <v>300</v>
      </c>
    </row>
    <row r="232" spans="3:17">
      <c r="C232" t="s">
        <v>68</v>
      </c>
      <c r="D232" t="s">
        <v>69</v>
      </c>
      <c r="E232" t="s">
        <v>348</v>
      </c>
      <c r="G232" t="s">
        <v>175</v>
      </c>
      <c r="I232">
        <v>2200000485</v>
      </c>
      <c r="P232" t="s">
        <v>72</v>
      </c>
      <c r="Q232">
        <v>50</v>
      </c>
    </row>
    <row r="233" spans="3:17">
      <c r="C233" t="s">
        <v>68</v>
      </c>
      <c r="D233" t="s">
        <v>69</v>
      </c>
      <c r="E233" t="s">
        <v>357</v>
      </c>
      <c r="G233" t="s">
        <v>213</v>
      </c>
      <c r="I233" t="s">
        <v>358</v>
      </c>
      <c r="J233">
        <v>1200003416</v>
      </c>
      <c r="P233" t="s">
        <v>72</v>
      </c>
      <c r="Q233">
        <v>130</v>
      </c>
    </row>
    <row r="234" spans="3:17">
      <c r="C234" t="s">
        <v>68</v>
      </c>
      <c r="D234" t="s">
        <v>69</v>
      </c>
      <c r="E234" t="s">
        <v>357</v>
      </c>
      <c r="G234" t="s">
        <v>359</v>
      </c>
      <c r="I234" t="s">
        <v>360</v>
      </c>
      <c r="J234">
        <v>1200003531</v>
      </c>
      <c r="P234" t="s">
        <v>72</v>
      </c>
      <c r="Q234">
        <v>380</v>
      </c>
    </row>
    <row r="235" spans="3:17">
      <c r="C235" t="s">
        <v>68</v>
      </c>
      <c r="D235" t="s">
        <v>69</v>
      </c>
      <c r="E235" t="s">
        <v>357</v>
      </c>
      <c r="G235" t="s">
        <v>361</v>
      </c>
      <c r="I235" t="s">
        <v>362</v>
      </c>
      <c r="P235" t="s">
        <v>74</v>
      </c>
      <c r="Q235">
        <v>150</v>
      </c>
    </row>
    <row r="236" spans="3:17">
      <c r="C236" t="s">
        <v>68</v>
      </c>
      <c r="D236" t="s">
        <v>69</v>
      </c>
      <c r="E236" t="s">
        <v>357</v>
      </c>
      <c r="G236" t="s">
        <v>213</v>
      </c>
      <c r="I236" t="s">
        <v>363</v>
      </c>
      <c r="P236" t="s">
        <v>74</v>
      </c>
      <c r="Q236">
        <v>120</v>
      </c>
    </row>
    <row r="237" spans="3:17">
      <c r="C237" t="s">
        <v>68</v>
      </c>
      <c r="D237" t="s">
        <v>69</v>
      </c>
      <c r="E237" t="s">
        <v>357</v>
      </c>
      <c r="G237" t="s">
        <v>364</v>
      </c>
      <c r="I237">
        <v>1200003332</v>
      </c>
      <c r="P237" t="s">
        <v>72</v>
      </c>
      <c r="Q237">
        <v>110</v>
      </c>
    </row>
    <row r="238" spans="3:17">
      <c r="C238" t="s">
        <v>68</v>
      </c>
      <c r="D238" t="s">
        <v>69</v>
      </c>
      <c r="E238" t="s">
        <v>357</v>
      </c>
      <c r="G238" t="s">
        <v>364</v>
      </c>
      <c r="I238">
        <v>1200003575</v>
      </c>
      <c r="P238" t="s">
        <v>72</v>
      </c>
      <c r="Q238">
        <v>270</v>
      </c>
    </row>
    <row r="239" spans="3:17">
      <c r="C239" t="s">
        <v>68</v>
      </c>
      <c r="D239" t="s">
        <v>69</v>
      </c>
      <c r="E239" t="s">
        <v>357</v>
      </c>
      <c r="G239" t="s">
        <v>361</v>
      </c>
      <c r="I239" t="s">
        <v>365</v>
      </c>
      <c r="P239" t="s">
        <v>74</v>
      </c>
      <c r="Q239">
        <v>150</v>
      </c>
    </row>
    <row r="240" spans="3:17">
      <c r="C240" t="s">
        <v>68</v>
      </c>
      <c r="D240" t="s">
        <v>69</v>
      </c>
      <c r="E240" t="s">
        <v>357</v>
      </c>
      <c r="G240" t="s">
        <v>213</v>
      </c>
      <c r="I240">
        <v>312100007</v>
      </c>
      <c r="P240" t="s">
        <v>74</v>
      </c>
      <c r="Q240">
        <v>50</v>
      </c>
    </row>
    <row r="241" spans="3:17">
      <c r="C241" t="s">
        <v>68</v>
      </c>
      <c r="D241" t="s">
        <v>69</v>
      </c>
      <c r="E241" t="s">
        <v>357</v>
      </c>
      <c r="G241" t="s">
        <v>366</v>
      </c>
      <c r="I241">
        <v>312100019</v>
      </c>
      <c r="P241" t="s">
        <v>74</v>
      </c>
      <c r="Q241">
        <v>90</v>
      </c>
    </row>
    <row r="242" spans="3:17">
      <c r="C242" t="s">
        <v>68</v>
      </c>
      <c r="D242" t="s">
        <v>69</v>
      </c>
      <c r="E242" t="s">
        <v>367</v>
      </c>
      <c r="G242" t="s">
        <v>368</v>
      </c>
      <c r="I242">
        <v>212100032</v>
      </c>
      <c r="P242" t="s">
        <v>72</v>
      </c>
      <c r="Q242">
        <v>200</v>
      </c>
    </row>
    <row r="243" spans="3:17">
      <c r="C243" t="s">
        <v>68</v>
      </c>
      <c r="D243" t="s">
        <v>69</v>
      </c>
      <c r="E243" t="s">
        <v>367</v>
      </c>
      <c r="G243" t="s">
        <v>368</v>
      </c>
      <c r="I243" t="s">
        <v>369</v>
      </c>
      <c r="P243" t="s">
        <v>72</v>
      </c>
      <c r="Q243">
        <v>100</v>
      </c>
    </row>
    <row r="244" spans="3:17">
      <c r="C244" t="s">
        <v>68</v>
      </c>
      <c r="D244" t="s">
        <v>69</v>
      </c>
      <c r="E244" t="s">
        <v>370</v>
      </c>
      <c r="G244" t="s">
        <v>371</v>
      </c>
      <c r="I244">
        <v>212100035</v>
      </c>
      <c r="P244" t="s">
        <v>72</v>
      </c>
      <c r="Q244">
        <v>200</v>
      </c>
    </row>
    <row r="245" spans="3:17">
      <c r="C245" t="s">
        <v>68</v>
      </c>
      <c r="D245" t="s">
        <v>69</v>
      </c>
      <c r="E245" t="s">
        <v>370</v>
      </c>
      <c r="G245" t="s">
        <v>372</v>
      </c>
      <c r="I245">
        <v>212100037</v>
      </c>
      <c r="P245" t="s">
        <v>72</v>
      </c>
      <c r="Q245">
        <v>200</v>
      </c>
    </row>
    <row r="246" spans="3:17">
      <c r="C246" t="s">
        <v>68</v>
      </c>
      <c r="D246" t="s">
        <v>69</v>
      </c>
      <c r="E246" t="s">
        <v>370</v>
      </c>
      <c r="G246" t="s">
        <v>373</v>
      </c>
      <c r="I246">
        <v>212100043</v>
      </c>
      <c r="P246" t="s">
        <v>72</v>
      </c>
      <c r="Q246">
        <v>300</v>
      </c>
    </row>
    <row r="247" spans="3:17">
      <c r="C247" t="s">
        <v>68</v>
      </c>
      <c r="D247" t="s">
        <v>69</v>
      </c>
      <c r="E247" t="s">
        <v>370</v>
      </c>
      <c r="G247" t="s">
        <v>366</v>
      </c>
      <c r="I247" t="s">
        <v>374</v>
      </c>
      <c r="P247" t="s">
        <v>72</v>
      </c>
      <c r="Q247">
        <v>150</v>
      </c>
    </row>
    <row r="248" spans="3:17">
      <c r="C248" t="s">
        <v>68</v>
      </c>
      <c r="D248" t="s">
        <v>69</v>
      </c>
      <c r="E248" t="s">
        <v>370</v>
      </c>
      <c r="G248" t="s">
        <v>375</v>
      </c>
      <c r="I248">
        <v>212100004</v>
      </c>
      <c r="P248" t="s">
        <v>72</v>
      </c>
      <c r="Q248">
        <v>80</v>
      </c>
    </row>
    <row r="249" spans="3:17">
      <c r="C249" t="s">
        <v>68</v>
      </c>
      <c r="D249" t="s">
        <v>69</v>
      </c>
      <c r="E249" t="s">
        <v>370</v>
      </c>
      <c r="G249" t="s">
        <v>376</v>
      </c>
      <c r="I249">
        <v>2200000018</v>
      </c>
      <c r="P249" t="s">
        <v>72</v>
      </c>
      <c r="Q249">
        <v>100</v>
      </c>
    </row>
    <row r="250" spans="3:17">
      <c r="C250" t="s">
        <v>68</v>
      </c>
      <c r="D250" t="s">
        <v>69</v>
      </c>
      <c r="E250" t="s">
        <v>370</v>
      </c>
      <c r="G250" t="s">
        <v>377</v>
      </c>
      <c r="I250">
        <v>1200003719</v>
      </c>
      <c r="P250" t="s">
        <v>72</v>
      </c>
      <c r="Q250">
        <v>50</v>
      </c>
    </row>
    <row r="251" spans="3:17">
      <c r="C251" t="s">
        <v>68</v>
      </c>
      <c r="D251" t="s">
        <v>69</v>
      </c>
      <c r="E251" t="s">
        <v>370</v>
      </c>
      <c r="G251" t="s">
        <v>376</v>
      </c>
      <c r="I251">
        <v>2200000034</v>
      </c>
      <c r="P251" t="s">
        <v>72</v>
      </c>
      <c r="Q251">
        <v>150</v>
      </c>
    </row>
    <row r="252" spans="3:17">
      <c r="C252" t="s">
        <v>68</v>
      </c>
      <c r="D252" t="s">
        <v>69</v>
      </c>
      <c r="E252" t="s">
        <v>378</v>
      </c>
      <c r="G252" t="s">
        <v>188</v>
      </c>
      <c r="I252">
        <v>2200000850</v>
      </c>
      <c r="P252" t="s">
        <v>72</v>
      </c>
      <c r="Q252">
        <v>300</v>
      </c>
    </row>
    <row r="253" spans="3:17">
      <c r="C253" t="s">
        <v>68</v>
      </c>
      <c r="D253" t="s">
        <v>69</v>
      </c>
      <c r="E253" t="s">
        <v>378</v>
      </c>
      <c r="G253" t="s">
        <v>188</v>
      </c>
      <c r="I253">
        <v>2200000886</v>
      </c>
      <c r="P253" t="s">
        <v>72</v>
      </c>
      <c r="Q253">
        <v>100</v>
      </c>
    </row>
    <row r="254" spans="3:17">
      <c r="C254" t="s">
        <v>68</v>
      </c>
      <c r="D254" t="s">
        <v>69</v>
      </c>
      <c r="E254" t="s">
        <v>378</v>
      </c>
      <c r="G254" t="s">
        <v>188</v>
      </c>
      <c r="I254">
        <v>2200000887</v>
      </c>
      <c r="P254" t="s">
        <v>72</v>
      </c>
      <c r="Q254">
        <v>200</v>
      </c>
    </row>
    <row r="255" spans="3:17">
      <c r="C255" t="s">
        <v>68</v>
      </c>
      <c r="D255" t="s">
        <v>69</v>
      </c>
      <c r="E255" t="s">
        <v>378</v>
      </c>
      <c r="G255" t="s">
        <v>188</v>
      </c>
      <c r="I255">
        <v>2200000888</v>
      </c>
      <c r="P255" t="s">
        <v>72</v>
      </c>
      <c r="Q255">
        <v>200</v>
      </c>
    </row>
    <row r="256" spans="3:17">
      <c r="C256" t="s">
        <v>68</v>
      </c>
      <c r="D256" t="s">
        <v>69</v>
      </c>
      <c r="E256" t="s">
        <v>378</v>
      </c>
      <c r="G256" t="s">
        <v>188</v>
      </c>
      <c r="I256">
        <v>2200000889</v>
      </c>
      <c r="P256" t="s">
        <v>72</v>
      </c>
      <c r="Q256">
        <v>100</v>
      </c>
    </row>
    <row r="257" spans="3:17">
      <c r="C257" t="s">
        <v>68</v>
      </c>
      <c r="D257" t="s">
        <v>69</v>
      </c>
      <c r="E257" t="s">
        <v>378</v>
      </c>
      <c r="G257" t="s">
        <v>188</v>
      </c>
      <c r="I257">
        <v>2200000890</v>
      </c>
      <c r="P257" t="s">
        <v>72</v>
      </c>
      <c r="Q257">
        <v>100</v>
      </c>
    </row>
    <row r="258" spans="3:17">
      <c r="C258" t="s">
        <v>68</v>
      </c>
      <c r="D258" t="s">
        <v>69</v>
      </c>
      <c r="E258" t="s">
        <v>378</v>
      </c>
      <c r="G258" t="s">
        <v>379</v>
      </c>
      <c r="I258">
        <v>2200001006</v>
      </c>
      <c r="P258" t="s">
        <v>72</v>
      </c>
      <c r="Q258">
        <v>600</v>
      </c>
    </row>
    <row r="259" spans="3:17">
      <c r="C259" t="s">
        <v>68</v>
      </c>
      <c r="D259" t="s">
        <v>380</v>
      </c>
      <c r="G259" t="s">
        <v>381</v>
      </c>
      <c r="I259">
        <v>2200000823</v>
      </c>
      <c r="P259" t="s">
        <v>72</v>
      </c>
      <c r="Q259">
        <v>300</v>
      </c>
    </row>
    <row r="260" spans="3:17">
      <c r="C260" t="s">
        <v>68</v>
      </c>
      <c r="D260" t="s">
        <v>380</v>
      </c>
      <c r="G260" t="s">
        <v>382</v>
      </c>
      <c r="I260">
        <v>2200000840</v>
      </c>
      <c r="P260" t="s">
        <v>72</v>
      </c>
      <c r="Q260">
        <v>300</v>
      </c>
    </row>
    <row r="261" spans="3:17">
      <c r="C261" t="s">
        <v>68</v>
      </c>
      <c r="D261" t="s">
        <v>380</v>
      </c>
      <c r="G261" t="s">
        <v>383</v>
      </c>
      <c r="I261">
        <v>2200000848</v>
      </c>
      <c r="P261" t="s">
        <v>72</v>
      </c>
      <c r="Q261">
        <v>300</v>
      </c>
    </row>
    <row r="262" spans="3:17">
      <c r="C262" t="s">
        <v>68</v>
      </c>
      <c r="D262" t="s">
        <v>380</v>
      </c>
      <c r="G262" t="s">
        <v>384</v>
      </c>
      <c r="I262">
        <v>2200000812</v>
      </c>
      <c r="P262" t="s">
        <v>72</v>
      </c>
      <c r="Q262">
        <v>300</v>
      </c>
    </row>
    <row r="263" spans="3:17">
      <c r="C263" t="s">
        <v>68</v>
      </c>
      <c r="D263" t="s">
        <v>380</v>
      </c>
      <c r="G263" t="s">
        <v>384</v>
      </c>
      <c r="I263">
        <v>2200000813</v>
      </c>
      <c r="P263" t="s">
        <v>72</v>
      </c>
      <c r="Q263">
        <v>300</v>
      </c>
    </row>
    <row r="264" spans="3:17">
      <c r="C264" t="s">
        <v>68</v>
      </c>
      <c r="D264" t="s">
        <v>380</v>
      </c>
      <c r="G264" t="s">
        <v>304</v>
      </c>
      <c r="I264">
        <v>2200000842</v>
      </c>
      <c r="P264" t="s">
        <v>72</v>
      </c>
      <c r="Q264">
        <v>300</v>
      </c>
    </row>
    <row r="265" spans="3:17">
      <c r="C265" t="s">
        <v>68</v>
      </c>
      <c r="D265" t="s">
        <v>380</v>
      </c>
      <c r="G265" t="s">
        <v>175</v>
      </c>
      <c r="I265">
        <v>2200000879</v>
      </c>
      <c r="P265" t="s">
        <v>72</v>
      </c>
      <c r="Q265">
        <v>300</v>
      </c>
    </row>
    <row r="266" spans="3:17">
      <c r="C266" t="s">
        <v>68</v>
      </c>
      <c r="D266" t="s">
        <v>69</v>
      </c>
      <c r="E266" t="s">
        <v>385</v>
      </c>
      <c r="G266" t="s">
        <v>175</v>
      </c>
      <c r="I266">
        <v>2200000499</v>
      </c>
      <c r="P266" t="s">
        <v>72</v>
      </c>
      <c r="Q266">
        <v>150</v>
      </c>
    </row>
    <row r="267" spans="3:17">
      <c r="C267" t="s">
        <v>68</v>
      </c>
      <c r="D267" t="s">
        <v>69</v>
      </c>
      <c r="E267" t="s">
        <v>385</v>
      </c>
      <c r="G267" t="s">
        <v>175</v>
      </c>
      <c r="I267">
        <v>2200000550</v>
      </c>
      <c r="P267" t="s">
        <v>72</v>
      </c>
      <c r="Q267">
        <v>150</v>
      </c>
    </row>
    <row r="268" spans="3:17">
      <c r="C268" t="s">
        <v>68</v>
      </c>
      <c r="D268" t="s">
        <v>69</v>
      </c>
      <c r="E268" t="s">
        <v>385</v>
      </c>
      <c r="G268" t="s">
        <v>386</v>
      </c>
      <c r="I268">
        <v>2200000618</v>
      </c>
      <c r="P268" t="s">
        <v>72</v>
      </c>
      <c r="Q268">
        <v>600</v>
      </c>
    </row>
    <row r="269" spans="3:17">
      <c r="C269" t="s">
        <v>68</v>
      </c>
      <c r="D269" t="s">
        <v>69</v>
      </c>
      <c r="E269" t="s">
        <v>385</v>
      </c>
      <c r="G269" t="s">
        <v>180</v>
      </c>
      <c r="I269">
        <v>2200000661</v>
      </c>
      <c r="P269" t="s">
        <v>72</v>
      </c>
      <c r="Q269">
        <v>250</v>
      </c>
    </row>
    <row r="270" spans="3:17">
      <c r="C270" t="s">
        <v>68</v>
      </c>
      <c r="D270" t="s">
        <v>69</v>
      </c>
      <c r="E270" t="s">
        <v>385</v>
      </c>
      <c r="G270" t="s">
        <v>180</v>
      </c>
      <c r="I270">
        <v>2200000662</v>
      </c>
      <c r="P270" t="s">
        <v>72</v>
      </c>
      <c r="Q270">
        <v>284</v>
      </c>
    </row>
    <row r="271" spans="3:17">
      <c r="C271" t="s">
        <v>68</v>
      </c>
      <c r="D271" t="s">
        <v>69</v>
      </c>
      <c r="E271" t="s">
        <v>385</v>
      </c>
      <c r="G271" t="s">
        <v>387</v>
      </c>
      <c r="I271">
        <v>2200000672</v>
      </c>
      <c r="P271" t="s">
        <v>72</v>
      </c>
      <c r="Q271">
        <v>600</v>
      </c>
    </row>
    <row r="272" spans="3:17">
      <c r="C272" t="s">
        <v>68</v>
      </c>
      <c r="D272" t="s">
        <v>69</v>
      </c>
      <c r="E272" t="s">
        <v>385</v>
      </c>
      <c r="G272" t="s">
        <v>180</v>
      </c>
      <c r="I272">
        <v>2200000599</v>
      </c>
      <c r="P272" t="s">
        <v>72</v>
      </c>
      <c r="Q272">
        <v>500</v>
      </c>
    </row>
    <row r="273" spans="3:17">
      <c r="C273" t="s">
        <v>68</v>
      </c>
      <c r="D273" t="s">
        <v>69</v>
      </c>
      <c r="E273" t="s">
        <v>388</v>
      </c>
      <c r="G273" t="s">
        <v>389</v>
      </c>
      <c r="I273" t="s">
        <v>390</v>
      </c>
      <c r="J273">
        <v>1200003689</v>
      </c>
      <c r="P273" t="s">
        <v>72</v>
      </c>
      <c r="Q273">
        <v>500</v>
      </c>
    </row>
    <row r="274" spans="3:17">
      <c r="C274" t="s">
        <v>68</v>
      </c>
      <c r="D274" t="s">
        <v>69</v>
      </c>
      <c r="E274" t="s">
        <v>388</v>
      </c>
      <c r="G274" t="s">
        <v>391</v>
      </c>
      <c r="I274">
        <v>212100038</v>
      </c>
      <c r="P274" t="s">
        <v>72</v>
      </c>
      <c r="Q274">
        <v>150</v>
      </c>
    </row>
    <row r="275" spans="3:17">
      <c r="C275" t="s">
        <v>68</v>
      </c>
      <c r="D275" t="s">
        <v>69</v>
      </c>
      <c r="E275" t="s">
        <v>392</v>
      </c>
      <c r="G275" t="s">
        <v>393</v>
      </c>
      <c r="I275">
        <v>2200000600</v>
      </c>
      <c r="P275" t="s">
        <v>72</v>
      </c>
      <c r="Q275">
        <v>1000</v>
      </c>
    </row>
    <row r="276" spans="3:17">
      <c r="C276" t="s">
        <v>68</v>
      </c>
      <c r="D276" t="s">
        <v>69</v>
      </c>
      <c r="E276" t="s">
        <v>392</v>
      </c>
      <c r="G276" t="s">
        <v>393</v>
      </c>
      <c r="I276">
        <v>2200000601</v>
      </c>
      <c r="P276" t="s">
        <v>72</v>
      </c>
      <c r="Q276">
        <v>1000</v>
      </c>
    </row>
    <row r="277" spans="3:17">
      <c r="C277" t="s">
        <v>68</v>
      </c>
      <c r="D277" t="s">
        <v>69</v>
      </c>
      <c r="E277" t="s">
        <v>392</v>
      </c>
      <c r="G277" t="s">
        <v>394</v>
      </c>
      <c r="I277">
        <v>2200000689</v>
      </c>
      <c r="P277" t="s">
        <v>72</v>
      </c>
      <c r="Q277">
        <v>700</v>
      </c>
    </row>
    <row r="278" spans="3:17">
      <c r="C278" t="s">
        <v>68</v>
      </c>
      <c r="D278" t="s">
        <v>69</v>
      </c>
      <c r="E278" t="s">
        <v>392</v>
      </c>
      <c r="G278" t="s">
        <v>188</v>
      </c>
      <c r="I278">
        <v>2200000777</v>
      </c>
      <c r="P278" t="s">
        <v>72</v>
      </c>
      <c r="Q278">
        <v>400</v>
      </c>
    </row>
    <row r="279" spans="3:17">
      <c r="C279" t="s">
        <v>68</v>
      </c>
      <c r="D279" t="s">
        <v>69</v>
      </c>
      <c r="E279" t="s">
        <v>392</v>
      </c>
      <c r="G279" t="s">
        <v>395</v>
      </c>
      <c r="I279">
        <v>2200000782</v>
      </c>
      <c r="P279" t="s">
        <v>73</v>
      </c>
      <c r="Q279">
        <v>150</v>
      </c>
    </row>
    <row r="280" spans="3:17">
      <c r="C280" t="s">
        <v>68</v>
      </c>
      <c r="D280" t="s">
        <v>69</v>
      </c>
      <c r="E280" t="s">
        <v>392</v>
      </c>
      <c r="G280" t="s">
        <v>396</v>
      </c>
      <c r="I280">
        <v>2200001198</v>
      </c>
      <c r="P280" t="s">
        <v>73</v>
      </c>
      <c r="Q280">
        <v>297</v>
      </c>
    </row>
    <row r="281" spans="3:17">
      <c r="C281" t="s">
        <v>68</v>
      </c>
      <c r="D281" t="s">
        <v>69</v>
      </c>
      <c r="E281" t="s">
        <v>397</v>
      </c>
      <c r="G281" t="s">
        <v>398</v>
      </c>
      <c r="I281">
        <v>2200000946</v>
      </c>
      <c r="P281" t="s">
        <v>72</v>
      </c>
      <c r="Q281">
        <v>300</v>
      </c>
    </row>
    <row r="282" spans="3:17">
      <c r="C282" t="s">
        <v>68</v>
      </c>
      <c r="D282" t="s">
        <v>69</v>
      </c>
      <c r="E282" t="s">
        <v>399</v>
      </c>
      <c r="G282" t="s">
        <v>218</v>
      </c>
      <c r="I282">
        <v>2200000644</v>
      </c>
      <c r="P282" t="s">
        <v>72</v>
      </c>
      <c r="Q282">
        <v>300</v>
      </c>
    </row>
    <row r="283" spans="3:17">
      <c r="C283" t="s">
        <v>68</v>
      </c>
      <c r="D283" t="s">
        <v>69</v>
      </c>
      <c r="E283" t="s">
        <v>399</v>
      </c>
      <c r="G283" t="s">
        <v>400</v>
      </c>
      <c r="I283">
        <v>2200000646</v>
      </c>
      <c r="P283" t="s">
        <v>72</v>
      </c>
      <c r="Q283">
        <v>300</v>
      </c>
    </row>
    <row r="284" spans="3:17">
      <c r="C284" t="s">
        <v>68</v>
      </c>
      <c r="D284" t="s">
        <v>69</v>
      </c>
      <c r="E284" t="s">
        <v>399</v>
      </c>
      <c r="G284" t="s">
        <v>401</v>
      </c>
      <c r="I284">
        <v>2200000758</v>
      </c>
      <c r="P284" t="s">
        <v>72</v>
      </c>
      <c r="Q284">
        <v>300</v>
      </c>
    </row>
    <row r="285" spans="3:17">
      <c r="C285" t="s">
        <v>68</v>
      </c>
      <c r="D285" t="s">
        <v>69</v>
      </c>
      <c r="E285" t="s">
        <v>399</v>
      </c>
      <c r="G285" t="s">
        <v>402</v>
      </c>
      <c r="I285">
        <v>2200000518</v>
      </c>
      <c r="P285" t="s">
        <v>72</v>
      </c>
      <c r="Q285">
        <v>300</v>
      </c>
    </row>
    <row r="286" spans="3:17">
      <c r="C286" t="s">
        <v>68</v>
      </c>
      <c r="D286" t="s">
        <v>69</v>
      </c>
      <c r="E286" t="s">
        <v>399</v>
      </c>
      <c r="G286" t="s">
        <v>188</v>
      </c>
      <c r="I286">
        <v>2200000551</v>
      </c>
      <c r="P286" t="s">
        <v>72</v>
      </c>
      <c r="Q286">
        <v>400</v>
      </c>
    </row>
    <row r="287" spans="3:17">
      <c r="C287" t="s">
        <v>68</v>
      </c>
      <c r="D287" t="s">
        <v>69</v>
      </c>
      <c r="E287" t="s">
        <v>399</v>
      </c>
      <c r="G287" t="s">
        <v>188</v>
      </c>
      <c r="I287">
        <v>2200000779</v>
      </c>
      <c r="P287" t="s">
        <v>72</v>
      </c>
      <c r="Q287">
        <v>300</v>
      </c>
    </row>
    <row r="288" spans="3:17">
      <c r="C288" t="s">
        <v>68</v>
      </c>
      <c r="D288" t="s">
        <v>69</v>
      </c>
      <c r="E288" t="s">
        <v>399</v>
      </c>
      <c r="G288" t="s">
        <v>403</v>
      </c>
      <c r="I288">
        <v>2200000743</v>
      </c>
      <c r="P288" t="s">
        <v>72</v>
      </c>
      <c r="Q288">
        <v>200</v>
      </c>
    </row>
    <row r="289" spans="3:17">
      <c r="C289" t="s">
        <v>68</v>
      </c>
      <c r="D289" t="s">
        <v>404</v>
      </c>
      <c r="G289" t="s">
        <v>188</v>
      </c>
      <c r="I289">
        <v>2200001026</v>
      </c>
      <c r="P289" t="s">
        <v>72</v>
      </c>
      <c r="Q289">
        <v>200</v>
      </c>
    </row>
    <row r="290" spans="3:17">
      <c r="C290" t="s">
        <v>68</v>
      </c>
      <c r="D290" t="s">
        <v>404</v>
      </c>
      <c r="G290" t="s">
        <v>405</v>
      </c>
      <c r="I290">
        <v>2200001057</v>
      </c>
      <c r="P290" t="s">
        <v>72</v>
      </c>
      <c r="Q290">
        <v>100</v>
      </c>
    </row>
    <row r="291" spans="3:17">
      <c r="C291" t="s">
        <v>68</v>
      </c>
      <c r="D291" t="s">
        <v>404</v>
      </c>
      <c r="G291" t="s">
        <v>190</v>
      </c>
      <c r="I291">
        <v>2200001194</v>
      </c>
      <c r="P291" t="s">
        <v>72</v>
      </c>
      <c r="Q291">
        <v>300</v>
      </c>
    </row>
    <row r="292" spans="3:17">
      <c r="C292" t="s">
        <v>68</v>
      </c>
      <c r="D292" t="s">
        <v>404</v>
      </c>
      <c r="G292" t="s">
        <v>188</v>
      </c>
      <c r="I292">
        <v>2200001188</v>
      </c>
      <c r="P292" t="s">
        <v>72</v>
      </c>
      <c r="Q292">
        <v>250</v>
      </c>
    </row>
    <row r="293" spans="3:17">
      <c r="C293" t="s">
        <v>68</v>
      </c>
      <c r="D293" t="s">
        <v>404</v>
      </c>
      <c r="G293" t="s">
        <v>405</v>
      </c>
      <c r="I293">
        <v>2200001252</v>
      </c>
      <c r="P293" t="s">
        <v>72</v>
      </c>
      <c r="Q293">
        <v>74</v>
      </c>
    </row>
    <row r="294" spans="3:17">
      <c r="C294" t="s">
        <v>68</v>
      </c>
      <c r="D294" t="s">
        <v>404</v>
      </c>
      <c r="G294" t="s">
        <v>405</v>
      </c>
      <c r="I294">
        <v>2200001088</v>
      </c>
      <c r="P294" t="s">
        <v>72</v>
      </c>
      <c r="Q294">
        <v>80</v>
      </c>
    </row>
    <row r="295" spans="3:17">
      <c r="C295" t="s">
        <v>68</v>
      </c>
      <c r="D295" t="s">
        <v>406</v>
      </c>
      <c r="G295" t="s">
        <v>407</v>
      </c>
      <c r="I295">
        <v>2200000860</v>
      </c>
      <c r="P295" t="s">
        <v>72</v>
      </c>
      <c r="Q295">
        <v>300</v>
      </c>
    </row>
    <row r="296" spans="3:17">
      <c r="C296" t="s">
        <v>68</v>
      </c>
      <c r="D296" t="s">
        <v>408</v>
      </c>
      <c r="G296" t="s">
        <v>168</v>
      </c>
      <c r="I296">
        <v>2200001089</v>
      </c>
      <c r="P296" t="s">
        <v>72</v>
      </c>
      <c r="Q296">
        <v>300</v>
      </c>
    </row>
    <row r="297" spans="3:17">
      <c r="C297" t="s">
        <v>68</v>
      </c>
      <c r="D297" t="s">
        <v>408</v>
      </c>
      <c r="G297" t="s">
        <v>409</v>
      </c>
      <c r="I297">
        <v>2200001100</v>
      </c>
      <c r="P297" t="s">
        <v>72</v>
      </c>
      <c r="Q297">
        <v>300</v>
      </c>
    </row>
    <row r="298" spans="3:17">
      <c r="C298" t="s">
        <v>68</v>
      </c>
      <c r="D298" t="s">
        <v>410</v>
      </c>
      <c r="E298" t="s">
        <v>411</v>
      </c>
      <c r="G298" t="s">
        <v>412</v>
      </c>
      <c r="I298">
        <v>2200000345</v>
      </c>
      <c r="P298" t="s">
        <v>72</v>
      </c>
      <c r="Q298">
        <v>1200</v>
      </c>
    </row>
    <row r="299" spans="3:17">
      <c r="C299" t="s">
        <v>68</v>
      </c>
      <c r="D299" t="s">
        <v>410</v>
      </c>
      <c r="E299" t="s">
        <v>413</v>
      </c>
      <c r="G299" t="s">
        <v>414</v>
      </c>
      <c r="I299">
        <v>2200000524</v>
      </c>
      <c r="P299" t="s">
        <v>415</v>
      </c>
      <c r="Q299">
        <v>672</v>
      </c>
    </row>
    <row r="300" spans="3:17">
      <c r="C300" t="s">
        <v>68</v>
      </c>
      <c r="D300" t="s">
        <v>410</v>
      </c>
      <c r="E300" t="s">
        <v>413</v>
      </c>
      <c r="G300" t="s">
        <v>414</v>
      </c>
      <c r="I300">
        <v>2200000525</v>
      </c>
      <c r="P300" t="s">
        <v>415</v>
      </c>
      <c r="Q300">
        <v>672</v>
      </c>
    </row>
    <row r="301" spans="3:17">
      <c r="C301" t="s">
        <v>68</v>
      </c>
      <c r="D301" t="s">
        <v>410</v>
      </c>
      <c r="E301" t="s">
        <v>413</v>
      </c>
      <c r="G301" t="s">
        <v>414</v>
      </c>
      <c r="I301">
        <v>2200000526</v>
      </c>
      <c r="P301" t="s">
        <v>415</v>
      </c>
      <c r="Q301">
        <v>672</v>
      </c>
    </row>
    <row r="302" spans="3:17">
      <c r="C302" t="s">
        <v>68</v>
      </c>
      <c r="D302" t="s">
        <v>410</v>
      </c>
      <c r="E302" t="s">
        <v>413</v>
      </c>
      <c r="G302" t="s">
        <v>416</v>
      </c>
      <c r="I302">
        <v>2200000553</v>
      </c>
      <c r="P302" t="s">
        <v>415</v>
      </c>
      <c r="Q302">
        <v>1120</v>
      </c>
    </row>
    <row r="303" spans="3:17">
      <c r="C303" t="s">
        <v>68</v>
      </c>
      <c r="D303" t="s">
        <v>410</v>
      </c>
      <c r="E303" t="s">
        <v>413</v>
      </c>
      <c r="G303" t="s">
        <v>416</v>
      </c>
      <c r="I303">
        <v>2200001086</v>
      </c>
      <c r="P303" t="s">
        <v>415</v>
      </c>
      <c r="Q303">
        <v>520</v>
      </c>
    </row>
    <row r="304" spans="3:17">
      <c r="C304" t="s">
        <v>417</v>
      </c>
      <c r="D304" t="s">
        <v>418</v>
      </c>
      <c r="E304" t="s">
        <v>419</v>
      </c>
      <c r="G304" t="s">
        <v>214</v>
      </c>
      <c r="P304" t="s">
        <v>73</v>
      </c>
      <c r="Q304">
        <v>295</v>
      </c>
    </row>
    <row r="305" spans="3:17">
      <c r="C305" t="s">
        <v>417</v>
      </c>
      <c r="D305" t="s">
        <v>418</v>
      </c>
      <c r="E305" t="s">
        <v>420</v>
      </c>
      <c r="G305" t="s">
        <v>421</v>
      </c>
      <c r="P305" t="s">
        <v>183</v>
      </c>
      <c r="Q305" t="s">
        <v>422</v>
      </c>
    </row>
    <row r="306" spans="3:17">
      <c r="C306" t="s">
        <v>417</v>
      </c>
      <c r="D306" t="s">
        <v>418</v>
      </c>
      <c r="E306" t="s">
        <v>423</v>
      </c>
      <c r="G306" t="s">
        <v>169</v>
      </c>
      <c r="P306" t="s">
        <v>73</v>
      </c>
      <c r="Q306">
        <v>400</v>
      </c>
    </row>
    <row r="307" spans="3:17">
      <c r="C307" t="s">
        <v>417</v>
      </c>
      <c r="D307" t="s">
        <v>418</v>
      </c>
      <c r="E307" t="s">
        <v>424</v>
      </c>
      <c r="G307" t="s">
        <v>425</v>
      </c>
      <c r="P307" t="s">
        <v>73</v>
      </c>
      <c r="Q307">
        <v>250</v>
      </c>
    </row>
    <row r="308" spans="3:17">
      <c r="C308" t="s">
        <v>417</v>
      </c>
      <c r="D308" t="s">
        <v>418</v>
      </c>
      <c r="E308" t="s">
        <v>426</v>
      </c>
      <c r="G308" t="s">
        <v>427</v>
      </c>
      <c r="P308" t="s">
        <v>73</v>
      </c>
      <c r="Q308">
        <v>50</v>
      </c>
    </row>
    <row r="309" spans="3:17">
      <c r="C309" t="s">
        <v>417</v>
      </c>
      <c r="D309" t="s">
        <v>418</v>
      </c>
      <c r="E309" t="s">
        <v>428</v>
      </c>
      <c r="G309" t="s">
        <v>421</v>
      </c>
      <c r="P309" t="s">
        <v>183</v>
      </c>
      <c r="Q309" t="s">
        <v>429</v>
      </c>
    </row>
    <row r="310" spans="3:17">
      <c r="C310" t="s">
        <v>417</v>
      </c>
      <c r="D310" t="s">
        <v>418</v>
      </c>
      <c r="E310" t="s">
        <v>430</v>
      </c>
      <c r="G310" t="s">
        <v>431</v>
      </c>
      <c r="P310" t="s">
        <v>73</v>
      </c>
      <c r="Q310">
        <v>250</v>
      </c>
    </row>
    <row r="311" spans="3:17">
      <c r="C311" t="s">
        <v>417</v>
      </c>
      <c r="D311" t="s">
        <v>418</v>
      </c>
      <c r="E311" t="s">
        <v>432</v>
      </c>
      <c r="G311" t="s">
        <v>433</v>
      </c>
      <c r="P311" t="s">
        <v>73</v>
      </c>
      <c r="Q311">
        <v>250</v>
      </c>
    </row>
    <row r="312" spans="3:17">
      <c r="C312" t="s">
        <v>417</v>
      </c>
      <c r="D312" t="s">
        <v>418</v>
      </c>
      <c r="E312" t="s">
        <v>434</v>
      </c>
      <c r="G312" t="s">
        <v>435</v>
      </c>
      <c r="P312" t="s">
        <v>73</v>
      </c>
      <c r="Q312">
        <v>250</v>
      </c>
    </row>
    <row r="313" spans="3:17">
      <c r="C313" t="s">
        <v>417</v>
      </c>
      <c r="D313" t="s">
        <v>418</v>
      </c>
      <c r="E313" t="s">
        <v>436</v>
      </c>
      <c r="G313" t="s">
        <v>437</v>
      </c>
      <c r="P313" t="s">
        <v>73</v>
      </c>
      <c r="Q313">
        <v>350</v>
      </c>
    </row>
    <row r="314" spans="3:17">
      <c r="C314" t="s">
        <v>417</v>
      </c>
      <c r="D314" t="s">
        <v>418</v>
      </c>
      <c r="E314" t="s">
        <v>438</v>
      </c>
      <c r="G314" t="s">
        <v>421</v>
      </c>
      <c r="P314" t="s">
        <v>73</v>
      </c>
      <c r="Q314">
        <v>140</v>
      </c>
    </row>
    <row r="315" spans="3:17">
      <c r="C315" t="s">
        <v>417</v>
      </c>
      <c r="D315" t="s">
        <v>418</v>
      </c>
      <c r="E315" t="s">
        <v>439</v>
      </c>
      <c r="G315" t="s">
        <v>304</v>
      </c>
      <c r="I315">
        <v>2200000872</v>
      </c>
      <c r="P315" t="s">
        <v>73</v>
      </c>
      <c r="Q315">
        <v>349.8</v>
      </c>
    </row>
    <row r="316" spans="3:17">
      <c r="C316" t="s">
        <v>417</v>
      </c>
      <c r="D316" t="s">
        <v>418</v>
      </c>
      <c r="E316" t="s">
        <v>439</v>
      </c>
      <c r="G316" t="s">
        <v>304</v>
      </c>
      <c r="I316">
        <v>2200000881</v>
      </c>
      <c r="P316" t="s">
        <v>73</v>
      </c>
      <c r="Q316">
        <v>339.9</v>
      </c>
    </row>
    <row r="317" spans="3:17">
      <c r="C317" t="s">
        <v>417</v>
      </c>
      <c r="D317" t="s">
        <v>418</v>
      </c>
      <c r="E317" t="s">
        <v>439</v>
      </c>
      <c r="G317" t="s">
        <v>188</v>
      </c>
      <c r="I317">
        <v>2200000780</v>
      </c>
      <c r="P317" t="s">
        <v>73</v>
      </c>
      <c r="Q317">
        <v>400</v>
      </c>
    </row>
    <row r="318" spans="3:17">
      <c r="C318" t="s">
        <v>417</v>
      </c>
      <c r="D318" t="s">
        <v>418</v>
      </c>
      <c r="E318" t="s">
        <v>439</v>
      </c>
      <c r="G318" t="s">
        <v>440</v>
      </c>
      <c r="I318">
        <v>2200001000</v>
      </c>
      <c r="P318" t="s">
        <v>183</v>
      </c>
      <c r="Q318" t="s">
        <v>441</v>
      </c>
    </row>
    <row r="319" spans="3:17">
      <c r="C319" t="s">
        <v>417</v>
      </c>
      <c r="D319" t="s">
        <v>418</v>
      </c>
      <c r="E319" t="s">
        <v>439</v>
      </c>
      <c r="G319" t="s">
        <v>394</v>
      </c>
      <c r="I319">
        <v>2200001074</v>
      </c>
      <c r="P319" t="s">
        <v>72</v>
      </c>
      <c r="Q319">
        <v>500</v>
      </c>
    </row>
    <row r="320" spans="3:17">
      <c r="C320" t="s">
        <v>417</v>
      </c>
      <c r="D320" t="s">
        <v>418</v>
      </c>
      <c r="E320" t="s">
        <v>439</v>
      </c>
      <c r="G320" t="s">
        <v>384</v>
      </c>
      <c r="I320">
        <v>2200000820</v>
      </c>
      <c r="P320" t="s">
        <v>72</v>
      </c>
      <c r="Q320">
        <v>300</v>
      </c>
    </row>
    <row r="321" spans="3:17">
      <c r="C321" t="s">
        <v>417</v>
      </c>
      <c r="D321" t="s">
        <v>418</v>
      </c>
      <c r="E321" t="s">
        <v>442</v>
      </c>
      <c r="G321" t="s">
        <v>295</v>
      </c>
      <c r="I321">
        <v>2200000012</v>
      </c>
      <c r="P321" t="s">
        <v>183</v>
      </c>
      <c r="Q321" t="s">
        <v>443</v>
      </c>
    </row>
    <row r="322" spans="3:17">
      <c r="C322" t="s">
        <v>417</v>
      </c>
      <c r="D322" t="s">
        <v>418</v>
      </c>
      <c r="E322" t="s">
        <v>444</v>
      </c>
      <c r="G322" t="s">
        <v>169</v>
      </c>
      <c r="I322">
        <v>2200000335</v>
      </c>
      <c r="P322" t="s">
        <v>72</v>
      </c>
      <c r="Q322" t="s">
        <v>445</v>
      </c>
    </row>
    <row r="323" spans="3:17">
      <c r="C323" t="s">
        <v>417</v>
      </c>
      <c r="D323" t="s">
        <v>418</v>
      </c>
      <c r="E323" t="s">
        <v>444</v>
      </c>
      <c r="G323" t="s">
        <v>446</v>
      </c>
      <c r="I323">
        <v>2200000150</v>
      </c>
      <c r="P323" t="s">
        <v>183</v>
      </c>
      <c r="Q323" t="s">
        <v>447</v>
      </c>
    </row>
    <row r="324" spans="3:17">
      <c r="C324" t="s">
        <v>417</v>
      </c>
      <c r="D324" t="s">
        <v>418</v>
      </c>
      <c r="E324" t="s">
        <v>444</v>
      </c>
      <c r="G324" t="s">
        <v>448</v>
      </c>
      <c r="I324">
        <v>2200000231</v>
      </c>
      <c r="P324" t="s">
        <v>72</v>
      </c>
      <c r="Q324">
        <v>100</v>
      </c>
    </row>
    <row r="325" spans="3:17">
      <c r="C325" t="s">
        <v>417</v>
      </c>
      <c r="D325" t="s">
        <v>418</v>
      </c>
      <c r="E325" t="s">
        <v>444</v>
      </c>
      <c r="G325" t="s">
        <v>449</v>
      </c>
      <c r="I325">
        <v>2200000158</v>
      </c>
      <c r="P325" t="s">
        <v>415</v>
      </c>
      <c r="Q325">
        <v>600</v>
      </c>
    </row>
    <row r="326" spans="3:17">
      <c r="C326" t="s">
        <v>417</v>
      </c>
      <c r="D326" t="s">
        <v>418</v>
      </c>
      <c r="E326" t="s">
        <v>444</v>
      </c>
      <c r="G326" t="s">
        <v>450</v>
      </c>
      <c r="I326">
        <v>2200000383</v>
      </c>
      <c r="P326" t="s">
        <v>183</v>
      </c>
      <c r="Q326" t="s">
        <v>451</v>
      </c>
    </row>
    <row r="327" spans="3:17">
      <c r="C327" t="s">
        <v>417</v>
      </c>
      <c r="D327" t="s">
        <v>418</v>
      </c>
      <c r="E327" t="s">
        <v>444</v>
      </c>
      <c r="G327" t="s">
        <v>450</v>
      </c>
      <c r="I327">
        <v>2200000236</v>
      </c>
      <c r="P327" t="s">
        <v>183</v>
      </c>
      <c r="Q327" t="s">
        <v>452</v>
      </c>
    </row>
    <row r="328" spans="3:17">
      <c r="C328" t="s">
        <v>417</v>
      </c>
      <c r="D328" t="s">
        <v>418</v>
      </c>
      <c r="E328" t="s">
        <v>444</v>
      </c>
      <c r="G328" t="s">
        <v>453</v>
      </c>
      <c r="I328">
        <v>2200000543</v>
      </c>
      <c r="P328" t="s">
        <v>183</v>
      </c>
      <c r="Q328" t="s">
        <v>454</v>
      </c>
    </row>
    <row r="329" spans="3:17">
      <c r="C329" t="s">
        <v>417</v>
      </c>
      <c r="D329" t="s">
        <v>418</v>
      </c>
      <c r="E329" t="s">
        <v>444</v>
      </c>
      <c r="G329" t="s">
        <v>455</v>
      </c>
      <c r="I329">
        <v>2200000544</v>
      </c>
      <c r="P329" t="s">
        <v>183</v>
      </c>
      <c r="Q329" t="s">
        <v>454</v>
      </c>
    </row>
    <row r="330" spans="3:17">
      <c r="C330" t="s">
        <v>417</v>
      </c>
      <c r="D330" t="s">
        <v>418</v>
      </c>
      <c r="E330" t="s">
        <v>444</v>
      </c>
      <c r="G330" t="s">
        <v>456</v>
      </c>
      <c r="I330">
        <v>2200000733</v>
      </c>
      <c r="P330" t="s">
        <v>72</v>
      </c>
      <c r="Q330">
        <v>800</v>
      </c>
    </row>
    <row r="331" spans="3:17">
      <c r="C331" t="s">
        <v>417</v>
      </c>
      <c r="D331" t="s">
        <v>418</v>
      </c>
      <c r="E331" t="s">
        <v>444</v>
      </c>
      <c r="G331" t="s">
        <v>456</v>
      </c>
      <c r="I331">
        <v>2200000734</v>
      </c>
      <c r="P331" t="s">
        <v>72</v>
      </c>
      <c r="Q331">
        <v>900</v>
      </c>
    </row>
    <row r="332" spans="3:17">
      <c r="C332" t="s">
        <v>417</v>
      </c>
      <c r="D332" t="s">
        <v>418</v>
      </c>
      <c r="E332" t="s">
        <v>444</v>
      </c>
      <c r="G332" t="s">
        <v>446</v>
      </c>
      <c r="I332">
        <v>2200000229</v>
      </c>
      <c r="P332" t="s">
        <v>183</v>
      </c>
      <c r="Q332" t="s">
        <v>457</v>
      </c>
    </row>
    <row r="333" spans="3:17">
      <c r="C333" t="s">
        <v>417</v>
      </c>
      <c r="D333" t="s">
        <v>418</v>
      </c>
      <c r="E333" t="s">
        <v>444</v>
      </c>
      <c r="G333" t="s">
        <v>456</v>
      </c>
      <c r="I333">
        <v>2200000735</v>
      </c>
      <c r="P333" t="s">
        <v>72</v>
      </c>
      <c r="Q333">
        <v>900</v>
      </c>
    </row>
    <row r="334" spans="3:17">
      <c r="C334" t="s">
        <v>417</v>
      </c>
      <c r="D334" t="s">
        <v>418</v>
      </c>
      <c r="E334" t="s">
        <v>444</v>
      </c>
      <c r="G334" t="s">
        <v>456</v>
      </c>
      <c r="I334">
        <v>2200000736</v>
      </c>
      <c r="P334" t="s">
        <v>72</v>
      </c>
      <c r="Q334">
        <v>900</v>
      </c>
    </row>
    <row r="335" spans="3:17">
      <c r="C335" t="s">
        <v>417</v>
      </c>
      <c r="D335" t="s">
        <v>418</v>
      </c>
      <c r="E335" t="s">
        <v>444</v>
      </c>
      <c r="G335" t="s">
        <v>458</v>
      </c>
      <c r="I335">
        <v>2200000508</v>
      </c>
      <c r="P335" t="s">
        <v>415</v>
      </c>
      <c r="Q335">
        <v>1250</v>
      </c>
    </row>
    <row r="336" spans="3:17">
      <c r="C336" t="s">
        <v>417</v>
      </c>
      <c r="D336" t="s">
        <v>418</v>
      </c>
      <c r="E336" t="s">
        <v>459</v>
      </c>
      <c r="G336" t="s">
        <v>460</v>
      </c>
      <c r="P336" t="s">
        <v>72</v>
      </c>
      <c r="Q336">
        <v>300</v>
      </c>
    </row>
    <row r="337" spans="3:17">
      <c r="C337" t="s">
        <v>417</v>
      </c>
      <c r="D337" t="s">
        <v>418</v>
      </c>
      <c r="E337" t="s">
        <v>461</v>
      </c>
      <c r="G337" t="s">
        <v>462</v>
      </c>
      <c r="P337" t="s">
        <v>183</v>
      </c>
      <c r="Q337" t="s">
        <v>463</v>
      </c>
    </row>
    <row r="338" spans="3:17">
      <c r="C338" t="s">
        <v>417</v>
      </c>
      <c r="D338" t="s">
        <v>418</v>
      </c>
      <c r="E338" t="s">
        <v>464</v>
      </c>
      <c r="G338" t="s">
        <v>465</v>
      </c>
      <c r="I338">
        <v>2200000633</v>
      </c>
      <c r="P338" t="s">
        <v>72</v>
      </c>
      <c r="Q338">
        <v>52.6</v>
      </c>
    </row>
    <row r="339" spans="3:17">
      <c r="C339" t="s">
        <v>417</v>
      </c>
      <c r="D339" t="s">
        <v>418</v>
      </c>
      <c r="E339" t="s">
        <v>466</v>
      </c>
      <c r="G339" t="s">
        <v>283</v>
      </c>
      <c r="I339">
        <v>2200000388</v>
      </c>
      <c r="P339" t="s">
        <v>72</v>
      </c>
      <c r="Q339">
        <v>100</v>
      </c>
    </row>
    <row r="340" spans="3:17">
      <c r="C340" t="s">
        <v>417</v>
      </c>
      <c r="D340" t="s">
        <v>418</v>
      </c>
      <c r="E340" t="s">
        <v>466</v>
      </c>
      <c r="G340" t="s">
        <v>467</v>
      </c>
      <c r="I340">
        <v>2200000250</v>
      </c>
      <c r="P340" t="s">
        <v>72</v>
      </c>
      <c r="Q340">
        <v>100</v>
      </c>
    </row>
    <row r="341" spans="3:17">
      <c r="C341" t="s">
        <v>417</v>
      </c>
      <c r="D341" t="s">
        <v>468</v>
      </c>
      <c r="E341" t="s">
        <v>442</v>
      </c>
      <c r="G341" t="s">
        <v>469</v>
      </c>
      <c r="I341" t="s">
        <v>470</v>
      </c>
      <c r="P341" t="s">
        <v>74</v>
      </c>
      <c r="Q341">
        <v>900</v>
      </c>
    </row>
    <row r="342" spans="3:17">
      <c r="C342" t="s">
        <v>417</v>
      </c>
      <c r="D342" t="s">
        <v>468</v>
      </c>
      <c r="E342" t="s">
        <v>442</v>
      </c>
      <c r="G342" t="s">
        <v>469</v>
      </c>
      <c r="I342" t="s">
        <v>471</v>
      </c>
      <c r="P342" t="s">
        <v>48</v>
      </c>
      <c r="Q342">
        <v>565</v>
      </c>
    </row>
    <row r="343" spans="3:17">
      <c r="C343" t="s">
        <v>417</v>
      </c>
      <c r="D343" t="s">
        <v>468</v>
      </c>
      <c r="E343" t="s">
        <v>442</v>
      </c>
      <c r="G343" t="s">
        <v>472</v>
      </c>
      <c r="I343">
        <v>350200006</v>
      </c>
      <c r="P343" t="s">
        <v>48</v>
      </c>
      <c r="Q343">
        <v>260</v>
      </c>
    </row>
    <row r="344" spans="3:17">
      <c r="C344" t="s">
        <v>417</v>
      </c>
      <c r="D344" t="s">
        <v>468</v>
      </c>
      <c r="E344" t="s">
        <v>473</v>
      </c>
      <c r="G344" t="s">
        <v>474</v>
      </c>
      <c r="P344" t="s">
        <v>72</v>
      </c>
      <c r="Q344">
        <v>100</v>
      </c>
    </row>
    <row r="345" spans="3:17">
      <c r="C345" t="s">
        <v>417</v>
      </c>
      <c r="D345" t="s">
        <v>468</v>
      </c>
      <c r="E345" t="s">
        <v>475</v>
      </c>
      <c r="G345" t="s">
        <v>476</v>
      </c>
      <c r="I345">
        <v>1200002272</v>
      </c>
      <c r="P345" t="s">
        <v>72</v>
      </c>
      <c r="Q345">
        <v>25</v>
      </c>
    </row>
    <row r="346" spans="3:17">
      <c r="C346" t="s">
        <v>417</v>
      </c>
      <c r="D346" t="s">
        <v>477</v>
      </c>
      <c r="G346" t="s">
        <v>478</v>
      </c>
      <c r="I346">
        <v>2200000716</v>
      </c>
      <c r="P346" t="s">
        <v>183</v>
      </c>
      <c r="Q346" t="s">
        <v>479</v>
      </c>
    </row>
    <row r="347" spans="3:17">
      <c r="C347" t="s">
        <v>417</v>
      </c>
      <c r="D347" t="s">
        <v>477</v>
      </c>
      <c r="G347" t="s">
        <v>460</v>
      </c>
      <c r="I347">
        <v>2200000759</v>
      </c>
      <c r="P347" t="s">
        <v>72</v>
      </c>
      <c r="Q347">
        <v>300</v>
      </c>
    </row>
    <row r="348" spans="3:17">
      <c r="C348" t="s">
        <v>417</v>
      </c>
      <c r="D348" t="s">
        <v>477</v>
      </c>
      <c r="G348" t="s">
        <v>450</v>
      </c>
      <c r="I348">
        <v>2200000422</v>
      </c>
      <c r="P348" t="s">
        <v>183</v>
      </c>
      <c r="Q348" t="s">
        <v>480</v>
      </c>
    </row>
    <row r="349" spans="3:17">
      <c r="C349" t="s">
        <v>417</v>
      </c>
      <c r="D349" t="s">
        <v>477</v>
      </c>
      <c r="G349" t="s">
        <v>450</v>
      </c>
      <c r="I349">
        <v>2200000640</v>
      </c>
      <c r="P349" t="s">
        <v>183</v>
      </c>
      <c r="Q349" t="s">
        <v>481</v>
      </c>
    </row>
    <row r="350" spans="3:17">
      <c r="C350" t="s">
        <v>417</v>
      </c>
      <c r="D350" t="s">
        <v>477</v>
      </c>
      <c r="G350" t="s">
        <v>482</v>
      </c>
      <c r="I350">
        <v>2200001001</v>
      </c>
      <c r="P350" t="s">
        <v>72</v>
      </c>
      <c r="Q350">
        <v>300</v>
      </c>
    </row>
    <row r="351" spans="3:17">
      <c r="C351" t="s">
        <v>417</v>
      </c>
      <c r="D351" t="s">
        <v>477</v>
      </c>
      <c r="G351" t="s">
        <v>483</v>
      </c>
      <c r="I351">
        <v>2200001002</v>
      </c>
      <c r="P351" t="s">
        <v>72</v>
      </c>
      <c r="Q351">
        <v>300</v>
      </c>
    </row>
    <row r="352" spans="3:17">
      <c r="C352" t="s">
        <v>417</v>
      </c>
      <c r="D352" t="s">
        <v>477</v>
      </c>
      <c r="G352" t="s">
        <v>484</v>
      </c>
      <c r="I352">
        <v>2200000762</v>
      </c>
      <c r="P352" t="s">
        <v>183</v>
      </c>
      <c r="Q352" t="s">
        <v>485</v>
      </c>
    </row>
    <row r="353" spans="3:17">
      <c r="C353" t="s">
        <v>417</v>
      </c>
      <c r="D353" t="s">
        <v>477</v>
      </c>
      <c r="G353" t="s">
        <v>484</v>
      </c>
      <c r="I353">
        <v>2200000763</v>
      </c>
      <c r="P353" t="s">
        <v>183</v>
      </c>
      <c r="Q353" t="s">
        <v>485</v>
      </c>
    </row>
    <row r="354" spans="3:17">
      <c r="C354" t="s">
        <v>417</v>
      </c>
      <c r="D354" t="s">
        <v>477</v>
      </c>
      <c r="G354" t="s">
        <v>484</v>
      </c>
      <c r="I354">
        <v>2200000892</v>
      </c>
      <c r="P354" t="s">
        <v>183</v>
      </c>
      <c r="Q354" t="s">
        <v>485</v>
      </c>
    </row>
    <row r="355" spans="3:17">
      <c r="C355" t="s">
        <v>417</v>
      </c>
      <c r="D355" t="s">
        <v>486</v>
      </c>
      <c r="G355" t="s">
        <v>387</v>
      </c>
      <c r="I355">
        <v>2200000393</v>
      </c>
      <c r="P355" t="s">
        <v>73</v>
      </c>
      <c r="Q355">
        <v>252</v>
      </c>
    </row>
    <row r="356" spans="3:17">
      <c r="C356" t="s">
        <v>417</v>
      </c>
      <c r="D356" t="s">
        <v>486</v>
      </c>
      <c r="G356" t="s">
        <v>487</v>
      </c>
      <c r="I356">
        <v>2200000397</v>
      </c>
      <c r="P356" t="s">
        <v>73</v>
      </c>
      <c r="Q356">
        <v>125</v>
      </c>
    </row>
    <row r="357" spans="3:17">
      <c r="C357" t="s">
        <v>417</v>
      </c>
      <c r="D357" t="s">
        <v>486</v>
      </c>
      <c r="G357" t="s">
        <v>487</v>
      </c>
      <c r="I357">
        <v>2200000429</v>
      </c>
      <c r="P357" t="s">
        <v>73</v>
      </c>
      <c r="Q357">
        <v>175</v>
      </c>
    </row>
    <row r="358" spans="3:17">
      <c r="C358" t="s">
        <v>417</v>
      </c>
      <c r="D358" t="s">
        <v>486</v>
      </c>
      <c r="G358" t="s">
        <v>387</v>
      </c>
      <c r="I358">
        <v>2200000447</v>
      </c>
      <c r="P358" t="s">
        <v>73</v>
      </c>
      <c r="Q358">
        <v>50.4</v>
      </c>
    </row>
    <row r="359" spans="3:17">
      <c r="C359" t="s">
        <v>417</v>
      </c>
      <c r="D359" t="s">
        <v>486</v>
      </c>
      <c r="G359" t="s">
        <v>488</v>
      </c>
      <c r="I359">
        <v>2200000584</v>
      </c>
      <c r="P359" t="s">
        <v>73</v>
      </c>
      <c r="Q359">
        <v>160</v>
      </c>
    </row>
    <row r="360" spans="3:17">
      <c r="C360" t="s">
        <v>417</v>
      </c>
      <c r="D360" t="s">
        <v>486</v>
      </c>
      <c r="G360" t="s">
        <v>489</v>
      </c>
      <c r="I360">
        <v>2200000657</v>
      </c>
      <c r="P360" t="s">
        <v>183</v>
      </c>
      <c r="Q360" t="s">
        <v>490</v>
      </c>
    </row>
    <row r="361" spans="3:17">
      <c r="C361" t="s">
        <v>417</v>
      </c>
      <c r="D361" t="s">
        <v>486</v>
      </c>
      <c r="G361" t="s">
        <v>491</v>
      </c>
      <c r="I361">
        <v>2200000687</v>
      </c>
      <c r="P361" t="s">
        <v>73</v>
      </c>
      <c r="Q361">
        <v>100</v>
      </c>
    </row>
    <row r="362" spans="3:17">
      <c r="C362" t="s">
        <v>417</v>
      </c>
      <c r="D362" t="s">
        <v>486</v>
      </c>
      <c r="G362" t="s">
        <v>280</v>
      </c>
      <c r="I362">
        <v>2200000586</v>
      </c>
      <c r="P362" t="s">
        <v>73</v>
      </c>
      <c r="Q362">
        <v>252</v>
      </c>
    </row>
    <row r="363" spans="3:17">
      <c r="C363" t="s">
        <v>417</v>
      </c>
      <c r="E363" t="s">
        <v>492</v>
      </c>
      <c r="G363" t="s">
        <v>493</v>
      </c>
      <c r="P363" t="s">
        <v>73</v>
      </c>
      <c r="Q363">
        <v>350</v>
      </c>
    </row>
    <row r="364" spans="3:17">
      <c r="C364" t="s">
        <v>417</v>
      </c>
      <c r="E364" t="s">
        <v>494</v>
      </c>
      <c r="G364" t="s">
        <v>394</v>
      </c>
      <c r="P364" t="s">
        <v>73</v>
      </c>
      <c r="Q364">
        <v>325</v>
      </c>
    </row>
    <row r="365" spans="3:17">
      <c r="C365" t="s">
        <v>417</v>
      </c>
      <c r="E365" t="s">
        <v>495</v>
      </c>
      <c r="G365" t="s">
        <v>496</v>
      </c>
      <c r="P365" t="s">
        <v>183</v>
      </c>
      <c r="Q365" t="s">
        <v>497</v>
      </c>
    </row>
    <row r="366" spans="3:17">
      <c r="C366" t="s">
        <v>417</v>
      </c>
      <c r="E366" t="s">
        <v>498</v>
      </c>
      <c r="G366" t="s">
        <v>499</v>
      </c>
      <c r="P366" t="s">
        <v>183</v>
      </c>
      <c r="Q366" t="s">
        <v>500</v>
      </c>
    </row>
    <row r="367" spans="3:17">
      <c r="C367" t="s">
        <v>417</v>
      </c>
      <c r="E367" t="s">
        <v>501</v>
      </c>
      <c r="G367" t="s">
        <v>218</v>
      </c>
      <c r="P367" t="s">
        <v>183</v>
      </c>
      <c r="Q367" t="s">
        <v>502</v>
      </c>
    </row>
    <row r="368" spans="3:17">
      <c r="C368" t="s">
        <v>417</v>
      </c>
      <c r="E368" t="s">
        <v>503</v>
      </c>
      <c r="G368" t="s">
        <v>400</v>
      </c>
      <c r="P368" t="s">
        <v>72</v>
      </c>
      <c r="Q368">
        <v>300</v>
      </c>
    </row>
    <row r="369" spans="3:17">
      <c r="C369" t="s">
        <v>417</v>
      </c>
      <c r="E369" t="s">
        <v>504</v>
      </c>
      <c r="G369" t="s">
        <v>290</v>
      </c>
      <c r="P369" t="s">
        <v>72</v>
      </c>
      <c r="Q369">
        <v>300</v>
      </c>
    </row>
    <row r="370" spans="3:17">
      <c r="C370" t="s">
        <v>417</v>
      </c>
      <c r="E370" t="s">
        <v>505</v>
      </c>
      <c r="G370" t="s">
        <v>499</v>
      </c>
      <c r="P370" t="s">
        <v>183</v>
      </c>
      <c r="Q370" t="s">
        <v>506</v>
      </c>
    </row>
    <row r="371" spans="3:17">
      <c r="C371" t="s">
        <v>417</v>
      </c>
      <c r="D371" t="s">
        <v>507</v>
      </c>
      <c r="G371" t="s">
        <v>508</v>
      </c>
      <c r="I371" t="s">
        <v>509</v>
      </c>
      <c r="P371" t="s">
        <v>73</v>
      </c>
      <c r="Q371">
        <v>170</v>
      </c>
    </row>
    <row r="372" spans="3:17">
      <c r="C372" t="s">
        <v>417</v>
      </c>
      <c r="D372" t="s">
        <v>507</v>
      </c>
      <c r="G372" t="s">
        <v>510</v>
      </c>
      <c r="I372" t="s">
        <v>511</v>
      </c>
      <c r="P372" t="s">
        <v>73</v>
      </c>
      <c r="Q372">
        <v>178.5</v>
      </c>
    </row>
    <row r="373" spans="3:17">
      <c r="C373" t="s">
        <v>417</v>
      </c>
      <c r="D373" t="s">
        <v>507</v>
      </c>
      <c r="G373" t="s">
        <v>512</v>
      </c>
      <c r="I373" t="s">
        <v>513</v>
      </c>
      <c r="P373" t="s">
        <v>73</v>
      </c>
      <c r="Q373">
        <v>300</v>
      </c>
    </row>
    <row r="374" spans="3:17">
      <c r="C374" t="s">
        <v>417</v>
      </c>
      <c r="D374" t="s">
        <v>507</v>
      </c>
      <c r="G374" t="s">
        <v>514</v>
      </c>
      <c r="I374">
        <v>451100011</v>
      </c>
      <c r="P374" t="s">
        <v>74</v>
      </c>
      <c r="Q374">
        <v>132</v>
      </c>
    </row>
    <row r="375" spans="3:17">
      <c r="C375" t="s">
        <v>417</v>
      </c>
      <c r="D375" t="s">
        <v>507</v>
      </c>
      <c r="G375" t="s">
        <v>514</v>
      </c>
      <c r="I375">
        <v>1200003761</v>
      </c>
      <c r="P375" t="s">
        <v>74</v>
      </c>
      <c r="Q375">
        <v>107</v>
      </c>
    </row>
    <row r="376" spans="3:17">
      <c r="C376" t="s">
        <v>417</v>
      </c>
      <c r="D376" t="s">
        <v>507</v>
      </c>
      <c r="G376" t="s">
        <v>514</v>
      </c>
      <c r="I376">
        <v>1200003828</v>
      </c>
      <c r="P376" t="s">
        <v>74</v>
      </c>
      <c r="Q376">
        <v>66</v>
      </c>
    </row>
    <row r="377" spans="3:17">
      <c r="C377" t="s">
        <v>417</v>
      </c>
      <c r="D377" t="s">
        <v>507</v>
      </c>
      <c r="G377" t="s">
        <v>514</v>
      </c>
      <c r="I377">
        <v>451100010</v>
      </c>
      <c r="P377" t="s">
        <v>74</v>
      </c>
      <c r="Q377">
        <v>165</v>
      </c>
    </row>
    <row r="378" spans="3:17">
      <c r="C378" t="s">
        <v>417</v>
      </c>
      <c r="D378" t="s">
        <v>515</v>
      </c>
      <c r="E378" t="s">
        <v>516</v>
      </c>
      <c r="G378" t="s">
        <v>517</v>
      </c>
      <c r="P378" t="s">
        <v>73</v>
      </c>
      <c r="Q378">
        <v>150</v>
      </c>
    </row>
    <row r="379" spans="3:17">
      <c r="C379" t="s">
        <v>417</v>
      </c>
      <c r="D379" t="s">
        <v>515</v>
      </c>
      <c r="E379" t="s">
        <v>516</v>
      </c>
      <c r="G379" t="s">
        <v>518</v>
      </c>
      <c r="I379" t="s">
        <v>519</v>
      </c>
      <c r="P379" t="s">
        <v>73</v>
      </c>
      <c r="Q379">
        <v>170</v>
      </c>
    </row>
    <row r="380" spans="3:17">
      <c r="C380" t="s">
        <v>417</v>
      </c>
      <c r="D380" t="s">
        <v>515</v>
      </c>
      <c r="E380" t="s">
        <v>516</v>
      </c>
      <c r="G380" t="s">
        <v>387</v>
      </c>
      <c r="I380">
        <v>2200000242</v>
      </c>
      <c r="P380" t="s">
        <v>73</v>
      </c>
      <c r="Q380">
        <v>198</v>
      </c>
    </row>
    <row r="381" spans="3:17">
      <c r="C381" t="s">
        <v>417</v>
      </c>
      <c r="D381" t="s">
        <v>515</v>
      </c>
      <c r="E381" t="s">
        <v>516</v>
      </c>
      <c r="G381" t="s">
        <v>283</v>
      </c>
      <c r="I381">
        <v>2200000441</v>
      </c>
      <c r="P381" t="s">
        <v>73</v>
      </c>
      <c r="Q381">
        <v>100</v>
      </c>
    </row>
    <row r="382" spans="3:17">
      <c r="C382" t="s">
        <v>417</v>
      </c>
      <c r="D382" t="s">
        <v>515</v>
      </c>
      <c r="E382" t="s">
        <v>516</v>
      </c>
      <c r="G382" t="s">
        <v>520</v>
      </c>
      <c r="I382">
        <v>2200000438</v>
      </c>
      <c r="P382" t="s">
        <v>73</v>
      </c>
      <c r="Q382">
        <v>300</v>
      </c>
    </row>
    <row r="383" spans="3:17">
      <c r="C383" t="s">
        <v>417</v>
      </c>
      <c r="D383" t="s">
        <v>515</v>
      </c>
      <c r="E383" t="s">
        <v>516</v>
      </c>
      <c r="G383" t="s">
        <v>387</v>
      </c>
      <c r="I383">
        <v>2200000448</v>
      </c>
      <c r="P383" t="s">
        <v>73</v>
      </c>
      <c r="Q383">
        <v>93.6</v>
      </c>
    </row>
    <row r="384" spans="3:17">
      <c r="C384" t="s">
        <v>417</v>
      </c>
      <c r="D384" t="s">
        <v>515</v>
      </c>
      <c r="E384" t="s">
        <v>516</v>
      </c>
      <c r="G384" t="s">
        <v>387</v>
      </c>
      <c r="I384">
        <v>2200000967</v>
      </c>
      <c r="P384" t="s">
        <v>73</v>
      </c>
      <c r="Q384">
        <v>82.5</v>
      </c>
    </row>
    <row r="385" spans="3:17">
      <c r="C385" t="s">
        <v>417</v>
      </c>
      <c r="D385" t="s">
        <v>515</v>
      </c>
      <c r="E385" t="s">
        <v>516</v>
      </c>
      <c r="G385" t="s">
        <v>521</v>
      </c>
      <c r="I385">
        <v>2200000628</v>
      </c>
      <c r="P385" t="s">
        <v>73</v>
      </c>
      <c r="Q385">
        <v>93</v>
      </c>
    </row>
    <row r="386" spans="3:17">
      <c r="C386" t="s">
        <v>417</v>
      </c>
      <c r="D386" t="s">
        <v>515</v>
      </c>
      <c r="E386" t="s">
        <v>522</v>
      </c>
      <c r="G386" t="s">
        <v>345</v>
      </c>
      <c r="I386">
        <v>2200000197</v>
      </c>
      <c r="P386" t="s">
        <v>73</v>
      </c>
      <c r="Q386">
        <v>52.8</v>
      </c>
    </row>
    <row r="387" spans="3:17">
      <c r="C387" t="s">
        <v>417</v>
      </c>
      <c r="D387" t="s">
        <v>515</v>
      </c>
      <c r="E387" t="s">
        <v>522</v>
      </c>
      <c r="G387" t="s">
        <v>387</v>
      </c>
      <c r="I387">
        <v>2200000394</v>
      </c>
      <c r="P387" t="s">
        <v>73</v>
      </c>
      <c r="Q387">
        <v>151</v>
      </c>
    </row>
    <row r="388" spans="3:17">
      <c r="C388" t="s">
        <v>417</v>
      </c>
      <c r="D388" t="s">
        <v>515</v>
      </c>
      <c r="E388" t="s">
        <v>522</v>
      </c>
      <c r="G388" t="s">
        <v>387</v>
      </c>
      <c r="I388">
        <v>2200000449</v>
      </c>
      <c r="P388" t="s">
        <v>73</v>
      </c>
      <c r="Q388">
        <v>151.19999999999999</v>
      </c>
    </row>
    <row r="389" spans="3:17">
      <c r="C389" t="s">
        <v>417</v>
      </c>
      <c r="D389" t="s">
        <v>515</v>
      </c>
      <c r="E389" t="s">
        <v>523</v>
      </c>
      <c r="G389" t="s">
        <v>524</v>
      </c>
      <c r="I389">
        <v>2200000594</v>
      </c>
      <c r="P389" t="s">
        <v>72</v>
      </c>
      <c r="Q389">
        <v>150</v>
      </c>
    </row>
    <row r="390" spans="3:17">
      <c r="C390" t="s">
        <v>525</v>
      </c>
      <c r="D390" t="s">
        <v>526</v>
      </c>
      <c r="E390" t="s">
        <v>527</v>
      </c>
      <c r="G390" t="s">
        <v>181</v>
      </c>
      <c r="I390">
        <v>2200000218</v>
      </c>
      <c r="P390" t="s">
        <v>73</v>
      </c>
      <c r="Q390">
        <v>155</v>
      </c>
    </row>
    <row r="391" spans="3:17">
      <c r="C391" t="s">
        <v>525</v>
      </c>
      <c r="D391" t="s">
        <v>526</v>
      </c>
      <c r="E391" t="s">
        <v>527</v>
      </c>
      <c r="G391" t="s">
        <v>528</v>
      </c>
      <c r="I391">
        <v>2200000317</v>
      </c>
      <c r="P391" t="s">
        <v>73</v>
      </c>
      <c r="Q391">
        <v>50</v>
      </c>
    </row>
    <row r="392" spans="3:17">
      <c r="C392" t="s">
        <v>525</v>
      </c>
      <c r="D392" t="s">
        <v>526</v>
      </c>
      <c r="E392" t="s">
        <v>527</v>
      </c>
      <c r="G392" t="s">
        <v>529</v>
      </c>
      <c r="I392">
        <v>2200000386</v>
      </c>
      <c r="P392" t="s">
        <v>72</v>
      </c>
      <c r="Q392">
        <v>200</v>
      </c>
    </row>
    <row r="393" spans="3:17">
      <c r="C393" t="s">
        <v>525</v>
      </c>
      <c r="D393" t="s">
        <v>526</v>
      </c>
      <c r="E393" t="s">
        <v>527</v>
      </c>
      <c r="G393" t="s">
        <v>181</v>
      </c>
      <c r="I393">
        <v>2200000566</v>
      </c>
      <c r="P393" t="s">
        <v>73</v>
      </c>
      <c r="Q393">
        <v>20</v>
      </c>
    </row>
    <row r="394" spans="3:17">
      <c r="C394" t="s">
        <v>525</v>
      </c>
      <c r="D394" t="s">
        <v>526</v>
      </c>
      <c r="E394" t="s">
        <v>527</v>
      </c>
      <c r="G394" t="s">
        <v>304</v>
      </c>
      <c r="I394">
        <v>2200000658</v>
      </c>
      <c r="P394" t="s">
        <v>73</v>
      </c>
      <c r="Q394">
        <v>99</v>
      </c>
    </row>
    <row r="395" spans="3:17">
      <c r="C395" t="s">
        <v>525</v>
      </c>
      <c r="D395" t="s">
        <v>526</v>
      </c>
      <c r="E395" t="s">
        <v>527</v>
      </c>
      <c r="G395" t="s">
        <v>529</v>
      </c>
      <c r="I395">
        <v>2200000729</v>
      </c>
      <c r="P395" t="s">
        <v>72</v>
      </c>
      <c r="Q395">
        <v>100</v>
      </c>
    </row>
    <row r="396" spans="3:17">
      <c r="C396" t="s">
        <v>525</v>
      </c>
      <c r="D396" t="s">
        <v>526</v>
      </c>
      <c r="E396" t="s">
        <v>527</v>
      </c>
      <c r="G396" t="s">
        <v>530</v>
      </c>
      <c r="I396">
        <v>2200000783</v>
      </c>
      <c r="P396" t="s">
        <v>73</v>
      </c>
      <c r="Q396">
        <v>99</v>
      </c>
    </row>
    <row r="397" spans="3:17">
      <c r="C397" t="s">
        <v>525</v>
      </c>
      <c r="D397" t="s">
        <v>526</v>
      </c>
      <c r="E397" t="s">
        <v>527</v>
      </c>
      <c r="G397" t="s">
        <v>529</v>
      </c>
      <c r="I397">
        <v>2200000808</v>
      </c>
      <c r="P397" t="s">
        <v>73</v>
      </c>
      <c r="Q397">
        <v>50</v>
      </c>
    </row>
    <row r="398" spans="3:17">
      <c r="C398" t="s">
        <v>525</v>
      </c>
      <c r="D398" t="s">
        <v>526</v>
      </c>
      <c r="E398" t="s">
        <v>527</v>
      </c>
      <c r="G398" t="s">
        <v>383</v>
      </c>
      <c r="I398">
        <v>2200000981</v>
      </c>
      <c r="P398" t="s">
        <v>73</v>
      </c>
      <c r="Q398" t="s">
        <v>531</v>
      </c>
    </row>
    <row r="399" spans="3:17">
      <c r="C399" t="s">
        <v>525</v>
      </c>
      <c r="D399" t="s">
        <v>526</v>
      </c>
      <c r="E399" t="s">
        <v>527</v>
      </c>
      <c r="G399" t="s">
        <v>532</v>
      </c>
      <c r="I399">
        <v>2200000634</v>
      </c>
      <c r="P399" t="s">
        <v>72</v>
      </c>
      <c r="Q399">
        <v>600</v>
      </c>
    </row>
    <row r="400" spans="3:17">
      <c r="C400" t="s">
        <v>525</v>
      </c>
      <c r="D400" t="s">
        <v>526</v>
      </c>
      <c r="E400" t="s">
        <v>533</v>
      </c>
      <c r="G400" t="s">
        <v>289</v>
      </c>
      <c r="I400">
        <v>2200000204</v>
      </c>
      <c r="P400" t="s">
        <v>72</v>
      </c>
      <c r="Q400">
        <v>360</v>
      </c>
    </row>
    <row r="401" spans="3:17">
      <c r="C401" t="s">
        <v>525</v>
      </c>
      <c r="D401" t="s">
        <v>526</v>
      </c>
      <c r="E401" t="s">
        <v>533</v>
      </c>
      <c r="G401" t="s">
        <v>352</v>
      </c>
      <c r="I401">
        <v>2200000288</v>
      </c>
      <c r="P401" t="s">
        <v>183</v>
      </c>
      <c r="Q401">
        <v>314</v>
      </c>
    </row>
    <row r="402" spans="3:17">
      <c r="C402" t="s">
        <v>525</v>
      </c>
      <c r="D402" t="s">
        <v>526</v>
      </c>
      <c r="E402" t="s">
        <v>533</v>
      </c>
      <c r="G402" t="s">
        <v>353</v>
      </c>
      <c r="I402">
        <v>2200000321</v>
      </c>
      <c r="P402" t="s">
        <v>183</v>
      </c>
      <c r="Q402">
        <v>362</v>
      </c>
    </row>
    <row r="403" spans="3:17">
      <c r="C403" t="s">
        <v>525</v>
      </c>
      <c r="D403" t="s">
        <v>526</v>
      </c>
      <c r="E403" t="s">
        <v>533</v>
      </c>
      <c r="G403" t="s">
        <v>169</v>
      </c>
      <c r="I403">
        <v>2200000382</v>
      </c>
      <c r="P403" t="s">
        <v>72</v>
      </c>
      <c r="Q403">
        <v>350</v>
      </c>
    </row>
    <row r="404" spans="3:17">
      <c r="C404" t="s">
        <v>525</v>
      </c>
      <c r="D404" t="s">
        <v>526</v>
      </c>
      <c r="E404" t="s">
        <v>533</v>
      </c>
      <c r="G404" t="s">
        <v>534</v>
      </c>
      <c r="I404">
        <v>2200000389</v>
      </c>
      <c r="P404" t="s">
        <v>183</v>
      </c>
      <c r="Q404" t="s">
        <v>535</v>
      </c>
    </row>
    <row r="405" spans="3:17">
      <c r="C405" t="s">
        <v>525</v>
      </c>
      <c r="D405" t="s">
        <v>526</v>
      </c>
      <c r="E405" t="s">
        <v>533</v>
      </c>
      <c r="G405" t="s">
        <v>169</v>
      </c>
      <c r="I405">
        <v>2200000431</v>
      </c>
      <c r="P405" t="s">
        <v>73</v>
      </c>
      <c r="Q405">
        <v>50</v>
      </c>
    </row>
    <row r="406" spans="3:17">
      <c r="C406" t="s">
        <v>525</v>
      </c>
      <c r="D406" t="s">
        <v>526</v>
      </c>
      <c r="E406" t="s">
        <v>533</v>
      </c>
      <c r="G406" t="s">
        <v>178</v>
      </c>
      <c r="I406">
        <v>2200000444</v>
      </c>
      <c r="P406" t="s">
        <v>72</v>
      </c>
      <c r="Q406">
        <v>100</v>
      </c>
    </row>
    <row r="407" spans="3:17">
      <c r="C407" t="s">
        <v>525</v>
      </c>
      <c r="D407" t="s">
        <v>526</v>
      </c>
      <c r="E407" t="s">
        <v>533</v>
      </c>
      <c r="G407" t="s">
        <v>169</v>
      </c>
      <c r="I407">
        <v>2200000497</v>
      </c>
      <c r="P407" t="s">
        <v>73</v>
      </c>
      <c r="Q407">
        <v>100</v>
      </c>
    </row>
    <row r="408" spans="3:17">
      <c r="C408" t="s">
        <v>525</v>
      </c>
      <c r="D408" t="s">
        <v>526</v>
      </c>
      <c r="E408" t="s">
        <v>533</v>
      </c>
      <c r="G408" t="s">
        <v>178</v>
      </c>
      <c r="I408">
        <v>2200000537</v>
      </c>
      <c r="P408" t="s">
        <v>72</v>
      </c>
      <c r="Q408">
        <v>300</v>
      </c>
    </row>
    <row r="409" spans="3:17">
      <c r="C409" t="s">
        <v>525</v>
      </c>
      <c r="D409" t="s">
        <v>526</v>
      </c>
      <c r="E409" t="s">
        <v>536</v>
      </c>
      <c r="G409" t="s">
        <v>181</v>
      </c>
      <c r="I409">
        <v>2200000180</v>
      </c>
      <c r="P409" t="s">
        <v>73</v>
      </c>
      <c r="Q409">
        <v>500</v>
      </c>
    </row>
    <row r="410" spans="3:17">
      <c r="C410" t="s">
        <v>525</v>
      </c>
      <c r="D410" t="s">
        <v>526</v>
      </c>
      <c r="E410" t="s">
        <v>536</v>
      </c>
      <c r="G410" t="s">
        <v>178</v>
      </c>
      <c r="I410">
        <v>2200000142</v>
      </c>
      <c r="P410" t="s">
        <v>183</v>
      </c>
      <c r="Q410" t="s">
        <v>537</v>
      </c>
    </row>
    <row r="411" spans="3:17">
      <c r="C411" t="s">
        <v>525</v>
      </c>
      <c r="D411" t="s">
        <v>526</v>
      </c>
      <c r="E411" t="s">
        <v>536</v>
      </c>
      <c r="G411" t="s">
        <v>175</v>
      </c>
      <c r="I411">
        <v>2200000190</v>
      </c>
      <c r="P411" t="s">
        <v>73</v>
      </c>
      <c r="Q411">
        <v>100</v>
      </c>
    </row>
    <row r="412" spans="3:17">
      <c r="C412" t="s">
        <v>525</v>
      </c>
      <c r="D412" t="s">
        <v>526</v>
      </c>
      <c r="E412" t="s">
        <v>536</v>
      </c>
      <c r="G412" t="s">
        <v>538</v>
      </c>
      <c r="I412">
        <v>230700018</v>
      </c>
      <c r="P412" t="s">
        <v>73</v>
      </c>
      <c r="Q412">
        <v>53</v>
      </c>
    </row>
    <row r="413" spans="3:17">
      <c r="C413" t="s">
        <v>525</v>
      </c>
      <c r="D413" t="s">
        <v>526</v>
      </c>
      <c r="E413" t="s">
        <v>536</v>
      </c>
      <c r="G413" t="s">
        <v>175</v>
      </c>
      <c r="I413">
        <v>2200000209</v>
      </c>
      <c r="P413" t="s">
        <v>73</v>
      </c>
      <c r="Q413">
        <v>200</v>
      </c>
    </row>
    <row r="414" spans="3:17">
      <c r="C414" t="s">
        <v>525</v>
      </c>
      <c r="D414" t="s">
        <v>526</v>
      </c>
      <c r="E414" t="s">
        <v>536</v>
      </c>
      <c r="G414" t="s">
        <v>181</v>
      </c>
      <c r="I414">
        <v>2200000565</v>
      </c>
      <c r="P414" t="s">
        <v>73</v>
      </c>
      <c r="Q414">
        <v>80</v>
      </c>
    </row>
    <row r="415" spans="3:17">
      <c r="C415" t="s">
        <v>525</v>
      </c>
      <c r="D415" t="s">
        <v>526</v>
      </c>
      <c r="E415" t="s">
        <v>536</v>
      </c>
      <c r="G415" t="s">
        <v>539</v>
      </c>
      <c r="I415">
        <v>2200000246</v>
      </c>
      <c r="P415" t="s">
        <v>183</v>
      </c>
      <c r="Q415">
        <v>250</v>
      </c>
    </row>
    <row r="416" spans="3:17">
      <c r="C416" t="s">
        <v>525</v>
      </c>
      <c r="D416" t="s">
        <v>526</v>
      </c>
      <c r="E416" t="s">
        <v>536</v>
      </c>
      <c r="G416" t="s">
        <v>540</v>
      </c>
      <c r="I416">
        <v>2200000261</v>
      </c>
      <c r="P416" t="s">
        <v>73</v>
      </c>
      <c r="Q416">
        <v>175</v>
      </c>
    </row>
    <row r="417" spans="3:17">
      <c r="C417" t="s">
        <v>525</v>
      </c>
      <c r="D417" t="s">
        <v>526</v>
      </c>
      <c r="E417" t="s">
        <v>536</v>
      </c>
      <c r="G417" t="s">
        <v>541</v>
      </c>
      <c r="I417">
        <v>2200000263</v>
      </c>
      <c r="P417" t="s">
        <v>73</v>
      </c>
      <c r="Q417">
        <v>400</v>
      </c>
    </row>
    <row r="418" spans="3:17">
      <c r="C418" t="s">
        <v>525</v>
      </c>
      <c r="D418" t="s">
        <v>526</v>
      </c>
      <c r="E418" t="s">
        <v>536</v>
      </c>
      <c r="G418" t="s">
        <v>181</v>
      </c>
      <c r="I418">
        <v>2200000241</v>
      </c>
      <c r="P418" t="s">
        <v>73</v>
      </c>
      <c r="Q418">
        <v>545</v>
      </c>
    </row>
    <row r="419" spans="3:17">
      <c r="C419" t="s">
        <v>525</v>
      </c>
      <c r="D419" t="s">
        <v>526</v>
      </c>
      <c r="E419" t="s">
        <v>536</v>
      </c>
      <c r="G419" t="s">
        <v>178</v>
      </c>
      <c r="I419">
        <v>2200000445</v>
      </c>
      <c r="P419" t="s">
        <v>73</v>
      </c>
      <c r="Q419">
        <v>100</v>
      </c>
    </row>
    <row r="420" spans="3:17">
      <c r="C420" t="s">
        <v>525</v>
      </c>
      <c r="D420" t="s">
        <v>526</v>
      </c>
      <c r="E420" t="s">
        <v>536</v>
      </c>
      <c r="G420" t="s">
        <v>542</v>
      </c>
      <c r="I420">
        <v>2200000473</v>
      </c>
      <c r="P420" t="s">
        <v>73</v>
      </c>
      <c r="Q420">
        <v>50</v>
      </c>
    </row>
    <row r="421" spans="3:17">
      <c r="C421" t="s">
        <v>525</v>
      </c>
      <c r="D421" t="s">
        <v>526</v>
      </c>
      <c r="E421" t="s">
        <v>536</v>
      </c>
      <c r="G421" t="s">
        <v>532</v>
      </c>
      <c r="I421">
        <v>2200000503</v>
      </c>
      <c r="P421" t="s">
        <v>73</v>
      </c>
      <c r="Q421">
        <v>308.49</v>
      </c>
    </row>
    <row r="422" spans="3:17">
      <c r="C422" t="s">
        <v>525</v>
      </c>
      <c r="D422" t="s">
        <v>526</v>
      </c>
      <c r="E422" t="s">
        <v>536</v>
      </c>
      <c r="G422" t="s">
        <v>178</v>
      </c>
      <c r="I422">
        <v>2200000556</v>
      </c>
      <c r="P422" t="s">
        <v>73</v>
      </c>
      <c r="Q422">
        <v>200</v>
      </c>
    </row>
    <row r="423" spans="3:17">
      <c r="C423" t="s">
        <v>525</v>
      </c>
      <c r="D423" t="s">
        <v>526</v>
      </c>
      <c r="E423" t="s">
        <v>536</v>
      </c>
      <c r="G423" t="s">
        <v>175</v>
      </c>
      <c r="I423">
        <v>2200000253</v>
      </c>
      <c r="P423" t="s">
        <v>73</v>
      </c>
      <c r="Q423">
        <v>100</v>
      </c>
    </row>
    <row r="424" spans="3:17">
      <c r="C424" t="s">
        <v>525</v>
      </c>
      <c r="D424" t="s">
        <v>526</v>
      </c>
      <c r="E424" t="s">
        <v>536</v>
      </c>
      <c r="G424" t="s">
        <v>175</v>
      </c>
      <c r="I424">
        <v>2200000379</v>
      </c>
      <c r="P424" t="s">
        <v>73</v>
      </c>
      <c r="Q424">
        <v>200</v>
      </c>
    </row>
    <row r="425" spans="3:17">
      <c r="C425" t="s">
        <v>525</v>
      </c>
      <c r="D425" t="s">
        <v>526</v>
      </c>
      <c r="E425" t="s">
        <v>536</v>
      </c>
      <c r="G425" t="s">
        <v>543</v>
      </c>
      <c r="I425">
        <v>2200000337</v>
      </c>
      <c r="P425" t="s">
        <v>72</v>
      </c>
      <c r="Q425">
        <v>150</v>
      </c>
    </row>
    <row r="426" spans="3:17">
      <c r="C426" t="s">
        <v>525</v>
      </c>
      <c r="D426" t="s">
        <v>526</v>
      </c>
      <c r="E426" t="s">
        <v>544</v>
      </c>
      <c r="G426" t="s">
        <v>545</v>
      </c>
      <c r="I426">
        <v>2200000478</v>
      </c>
      <c r="P426" t="s">
        <v>183</v>
      </c>
      <c r="Q426">
        <v>650</v>
      </c>
    </row>
    <row r="427" spans="3:17">
      <c r="C427" t="s">
        <v>525</v>
      </c>
      <c r="D427" t="s">
        <v>526</v>
      </c>
      <c r="E427" t="s">
        <v>544</v>
      </c>
      <c r="G427" t="s">
        <v>545</v>
      </c>
      <c r="I427">
        <v>2200000479</v>
      </c>
      <c r="P427" t="s">
        <v>183</v>
      </c>
      <c r="Q427">
        <v>100</v>
      </c>
    </row>
    <row r="428" spans="3:17">
      <c r="C428" t="s">
        <v>525</v>
      </c>
      <c r="D428" t="s">
        <v>526</v>
      </c>
      <c r="E428" t="s">
        <v>544</v>
      </c>
      <c r="G428" t="s">
        <v>545</v>
      </c>
      <c r="I428">
        <v>2200000784</v>
      </c>
      <c r="P428" t="s">
        <v>73</v>
      </c>
      <c r="Q428">
        <v>60</v>
      </c>
    </row>
    <row r="429" spans="3:17">
      <c r="C429" t="s">
        <v>525</v>
      </c>
      <c r="D429" t="s">
        <v>526</v>
      </c>
      <c r="E429" t="s">
        <v>546</v>
      </c>
      <c r="G429" t="s">
        <v>547</v>
      </c>
      <c r="I429">
        <v>230700008</v>
      </c>
      <c r="P429" t="s">
        <v>74</v>
      </c>
      <c r="Q429">
        <v>1250</v>
      </c>
    </row>
    <row r="430" spans="3:17">
      <c r="C430" t="s">
        <v>525</v>
      </c>
      <c r="D430" t="s">
        <v>526</v>
      </c>
      <c r="E430" t="s">
        <v>546</v>
      </c>
      <c r="G430" t="s">
        <v>548</v>
      </c>
      <c r="I430">
        <v>1670426092248</v>
      </c>
      <c r="P430" t="s">
        <v>74</v>
      </c>
      <c r="Q430">
        <v>1050</v>
      </c>
    </row>
    <row r="431" spans="3:17">
      <c r="C431" t="s">
        <v>525</v>
      </c>
      <c r="D431" t="s">
        <v>526</v>
      </c>
      <c r="E431" t="s">
        <v>549</v>
      </c>
      <c r="G431" t="s">
        <v>550</v>
      </c>
      <c r="I431">
        <v>230700006</v>
      </c>
      <c r="P431" t="s">
        <v>74</v>
      </c>
      <c r="Q431">
        <v>1200</v>
      </c>
    </row>
    <row r="432" spans="3:17">
      <c r="C432" t="s">
        <v>525</v>
      </c>
      <c r="D432" t="s">
        <v>526</v>
      </c>
      <c r="E432" t="s">
        <v>549</v>
      </c>
      <c r="G432" t="s">
        <v>551</v>
      </c>
      <c r="I432">
        <v>230700007</v>
      </c>
      <c r="P432" t="s">
        <v>74</v>
      </c>
      <c r="Q432">
        <v>1166.4000000000001</v>
      </c>
    </row>
    <row r="433" spans="3:17">
      <c r="C433" t="s">
        <v>525</v>
      </c>
      <c r="D433" t="s">
        <v>526</v>
      </c>
      <c r="E433" t="s">
        <v>549</v>
      </c>
      <c r="G433" t="s">
        <v>552</v>
      </c>
      <c r="I433" t="s">
        <v>553</v>
      </c>
      <c r="P433" t="s">
        <v>73</v>
      </c>
      <c r="Q433">
        <v>250</v>
      </c>
    </row>
    <row r="434" spans="3:17">
      <c r="C434" t="s">
        <v>525</v>
      </c>
      <c r="D434" t="s">
        <v>526</v>
      </c>
      <c r="E434" t="s">
        <v>549</v>
      </c>
      <c r="G434" t="s">
        <v>554</v>
      </c>
      <c r="I434">
        <v>230700011</v>
      </c>
      <c r="P434" t="s">
        <v>74</v>
      </c>
      <c r="Q434">
        <v>1150</v>
      </c>
    </row>
    <row r="435" spans="3:17">
      <c r="C435" t="s">
        <v>525</v>
      </c>
      <c r="D435" t="s">
        <v>526</v>
      </c>
      <c r="E435" t="s">
        <v>555</v>
      </c>
      <c r="G435" t="s">
        <v>556</v>
      </c>
      <c r="I435">
        <v>1200003331</v>
      </c>
      <c r="P435" t="s">
        <v>72</v>
      </c>
      <c r="Q435">
        <v>600</v>
      </c>
    </row>
    <row r="436" spans="3:17">
      <c r="C436" t="s">
        <v>525</v>
      </c>
      <c r="D436" t="s">
        <v>526</v>
      </c>
      <c r="E436" t="s">
        <v>555</v>
      </c>
      <c r="G436" t="s">
        <v>557</v>
      </c>
      <c r="I436">
        <v>1200003371</v>
      </c>
      <c r="P436" t="s">
        <v>72</v>
      </c>
      <c r="Q436">
        <v>600</v>
      </c>
    </row>
    <row r="437" spans="3:17">
      <c r="C437" t="s">
        <v>525</v>
      </c>
      <c r="D437" t="s">
        <v>526</v>
      </c>
      <c r="E437" t="s">
        <v>555</v>
      </c>
      <c r="G437" t="s">
        <v>558</v>
      </c>
      <c r="I437">
        <v>1200003585</v>
      </c>
      <c r="P437" t="s">
        <v>72</v>
      </c>
      <c r="Q437">
        <v>265</v>
      </c>
    </row>
    <row r="438" spans="3:17">
      <c r="C438" t="s">
        <v>525</v>
      </c>
      <c r="D438" t="s">
        <v>526</v>
      </c>
      <c r="E438" t="s">
        <v>555</v>
      </c>
      <c r="G438" t="s">
        <v>559</v>
      </c>
      <c r="I438">
        <v>1200003733</v>
      </c>
      <c r="P438" t="s">
        <v>72</v>
      </c>
      <c r="Q438">
        <v>100</v>
      </c>
    </row>
    <row r="439" spans="3:17">
      <c r="C439" t="s">
        <v>525</v>
      </c>
      <c r="D439" t="s">
        <v>526</v>
      </c>
      <c r="E439" t="s">
        <v>555</v>
      </c>
      <c r="G439" t="s">
        <v>560</v>
      </c>
      <c r="I439">
        <v>1200003953</v>
      </c>
      <c r="P439" t="s">
        <v>72</v>
      </c>
      <c r="Q439">
        <v>890</v>
      </c>
    </row>
    <row r="440" spans="3:17">
      <c r="C440" t="s">
        <v>525</v>
      </c>
      <c r="D440" t="s">
        <v>526</v>
      </c>
      <c r="E440" t="s">
        <v>555</v>
      </c>
      <c r="G440" t="s">
        <v>561</v>
      </c>
      <c r="I440">
        <v>230700005</v>
      </c>
      <c r="P440" t="s">
        <v>72</v>
      </c>
      <c r="Q440">
        <v>1000</v>
      </c>
    </row>
    <row r="441" spans="3:17">
      <c r="C441" t="s">
        <v>525</v>
      </c>
      <c r="D441" t="s">
        <v>526</v>
      </c>
      <c r="E441" t="s">
        <v>555</v>
      </c>
      <c r="G441" t="s">
        <v>562</v>
      </c>
      <c r="I441">
        <v>1200003953</v>
      </c>
      <c r="P441" t="s">
        <v>72</v>
      </c>
      <c r="Q441">
        <v>390</v>
      </c>
    </row>
    <row r="442" spans="3:17">
      <c r="C442" t="s">
        <v>525</v>
      </c>
      <c r="D442" t="s">
        <v>526</v>
      </c>
      <c r="E442" t="s">
        <v>555</v>
      </c>
      <c r="G442" t="s">
        <v>563</v>
      </c>
      <c r="I442">
        <v>330700007</v>
      </c>
      <c r="P442" t="s">
        <v>72</v>
      </c>
      <c r="Q442">
        <v>300</v>
      </c>
    </row>
    <row r="443" spans="3:17">
      <c r="C443" t="s">
        <v>525</v>
      </c>
      <c r="D443" t="s">
        <v>526</v>
      </c>
      <c r="E443" t="s">
        <v>564</v>
      </c>
      <c r="G443" t="s">
        <v>545</v>
      </c>
      <c r="I443">
        <v>2200000476</v>
      </c>
      <c r="P443" t="s">
        <v>183</v>
      </c>
      <c r="Q443">
        <v>1250</v>
      </c>
    </row>
    <row r="444" spans="3:17">
      <c r="C444" t="s">
        <v>525</v>
      </c>
      <c r="D444" t="s">
        <v>526</v>
      </c>
      <c r="E444" t="s">
        <v>564</v>
      </c>
      <c r="G444" t="s">
        <v>545</v>
      </c>
      <c r="I444">
        <v>2200000477</v>
      </c>
      <c r="P444" t="s">
        <v>183</v>
      </c>
      <c r="Q444">
        <v>75</v>
      </c>
    </row>
    <row r="445" spans="3:17">
      <c r="C445" t="s">
        <v>525</v>
      </c>
      <c r="D445" t="s">
        <v>526</v>
      </c>
      <c r="E445" t="s">
        <v>564</v>
      </c>
      <c r="G445" t="s">
        <v>545</v>
      </c>
      <c r="I445">
        <v>2200000602</v>
      </c>
      <c r="P445" t="s">
        <v>183</v>
      </c>
      <c r="Q445" t="s">
        <v>565</v>
      </c>
    </row>
    <row r="446" spans="3:17">
      <c r="C446" t="s">
        <v>525</v>
      </c>
      <c r="D446" t="s">
        <v>526</v>
      </c>
      <c r="E446" t="s">
        <v>564</v>
      </c>
      <c r="G446" t="s">
        <v>545</v>
      </c>
      <c r="I446">
        <v>2200000786</v>
      </c>
      <c r="P446" t="s">
        <v>73</v>
      </c>
      <c r="Q446">
        <v>195</v>
      </c>
    </row>
    <row r="447" spans="3:17">
      <c r="C447" t="s">
        <v>525</v>
      </c>
      <c r="D447" t="s">
        <v>526</v>
      </c>
      <c r="E447" t="s">
        <v>564</v>
      </c>
      <c r="G447" t="s">
        <v>545</v>
      </c>
      <c r="I447">
        <v>2200000953</v>
      </c>
      <c r="P447" t="s">
        <v>183</v>
      </c>
      <c r="Q447" t="s">
        <v>566</v>
      </c>
    </row>
    <row r="448" spans="3:17">
      <c r="C448" t="s">
        <v>525</v>
      </c>
      <c r="D448" t="s">
        <v>526</v>
      </c>
      <c r="E448" t="s">
        <v>567</v>
      </c>
      <c r="G448" t="s">
        <v>568</v>
      </c>
      <c r="I448">
        <v>230700009</v>
      </c>
      <c r="P448" t="s">
        <v>74</v>
      </c>
      <c r="Q448">
        <v>1250</v>
      </c>
    </row>
    <row r="449" spans="3:17">
      <c r="C449" t="s">
        <v>525</v>
      </c>
      <c r="D449" t="s">
        <v>526</v>
      </c>
      <c r="E449" t="s">
        <v>567</v>
      </c>
      <c r="G449" t="s">
        <v>554</v>
      </c>
      <c r="I449">
        <v>230700012</v>
      </c>
      <c r="P449" t="s">
        <v>74</v>
      </c>
      <c r="Q449">
        <v>1332</v>
      </c>
    </row>
    <row r="450" spans="3:17">
      <c r="C450" t="s">
        <v>525</v>
      </c>
      <c r="D450" t="s">
        <v>526</v>
      </c>
      <c r="E450" t="s">
        <v>567</v>
      </c>
      <c r="G450" t="s">
        <v>554</v>
      </c>
      <c r="I450">
        <v>230700014</v>
      </c>
      <c r="P450" t="s">
        <v>74</v>
      </c>
      <c r="Q450">
        <v>1100</v>
      </c>
    </row>
    <row r="451" spans="3:17">
      <c r="C451" t="s">
        <v>525</v>
      </c>
      <c r="D451" t="s">
        <v>526</v>
      </c>
      <c r="E451" t="s">
        <v>567</v>
      </c>
      <c r="G451" t="s">
        <v>569</v>
      </c>
      <c r="I451">
        <v>230700010</v>
      </c>
      <c r="P451" t="s">
        <v>72</v>
      </c>
      <c r="Q451">
        <v>1200</v>
      </c>
    </row>
    <row r="452" spans="3:17">
      <c r="C452" t="s">
        <v>525</v>
      </c>
      <c r="D452" t="s">
        <v>526</v>
      </c>
      <c r="E452" t="s">
        <v>570</v>
      </c>
      <c r="G452" t="s">
        <v>554</v>
      </c>
      <c r="I452">
        <v>230700013</v>
      </c>
      <c r="P452" t="s">
        <v>74</v>
      </c>
      <c r="Q452">
        <v>1250</v>
      </c>
    </row>
    <row r="453" spans="3:17">
      <c r="C453" t="s">
        <v>525</v>
      </c>
      <c r="D453" t="s">
        <v>526</v>
      </c>
      <c r="E453" t="s">
        <v>570</v>
      </c>
      <c r="G453" t="s">
        <v>571</v>
      </c>
      <c r="I453">
        <v>230700015</v>
      </c>
      <c r="P453" t="s">
        <v>72</v>
      </c>
      <c r="Q453">
        <v>600</v>
      </c>
    </row>
    <row r="454" spans="3:17">
      <c r="C454" t="s">
        <v>525</v>
      </c>
      <c r="D454" t="s">
        <v>526</v>
      </c>
      <c r="E454" t="s">
        <v>572</v>
      </c>
      <c r="G454" t="s">
        <v>573</v>
      </c>
      <c r="I454">
        <v>2200000011</v>
      </c>
      <c r="P454" t="s">
        <v>72</v>
      </c>
      <c r="Q454">
        <v>50</v>
      </c>
    </row>
    <row r="455" spans="3:17">
      <c r="C455" t="s">
        <v>525</v>
      </c>
      <c r="D455" t="s">
        <v>526</v>
      </c>
      <c r="E455" t="s">
        <v>572</v>
      </c>
      <c r="G455" t="s">
        <v>178</v>
      </c>
      <c r="I455">
        <v>2200000131</v>
      </c>
      <c r="P455" t="s">
        <v>72</v>
      </c>
      <c r="Q455">
        <v>300</v>
      </c>
    </row>
    <row r="456" spans="3:17">
      <c r="C456" t="s">
        <v>525</v>
      </c>
      <c r="D456" t="s">
        <v>526</v>
      </c>
      <c r="E456" t="s">
        <v>572</v>
      </c>
      <c r="G456" t="s">
        <v>178</v>
      </c>
      <c r="I456">
        <v>2200000200</v>
      </c>
      <c r="P456" t="s">
        <v>72</v>
      </c>
      <c r="Q456">
        <v>200</v>
      </c>
    </row>
    <row r="457" spans="3:17">
      <c r="C457" t="s">
        <v>525</v>
      </c>
      <c r="D457" t="s">
        <v>526</v>
      </c>
      <c r="E457" t="s">
        <v>572</v>
      </c>
      <c r="G457" t="s">
        <v>574</v>
      </c>
      <c r="I457">
        <v>2200000324</v>
      </c>
      <c r="P457" t="s">
        <v>183</v>
      </c>
      <c r="Q457" t="s">
        <v>575</v>
      </c>
    </row>
    <row r="458" spans="3:17">
      <c r="C458" t="s">
        <v>525</v>
      </c>
      <c r="D458" t="s">
        <v>526</v>
      </c>
      <c r="E458" t="s">
        <v>572</v>
      </c>
      <c r="G458" t="s">
        <v>218</v>
      </c>
      <c r="I458">
        <v>2200000610</v>
      </c>
      <c r="P458" t="s">
        <v>183</v>
      </c>
      <c r="Q458" t="s">
        <v>576</v>
      </c>
    </row>
    <row r="459" spans="3:17">
      <c r="C459" t="s">
        <v>525</v>
      </c>
      <c r="D459" t="s">
        <v>526</v>
      </c>
      <c r="E459" t="s">
        <v>572</v>
      </c>
      <c r="G459" t="s">
        <v>577</v>
      </c>
      <c r="I459">
        <v>2200000639</v>
      </c>
      <c r="P459" t="s">
        <v>72</v>
      </c>
      <c r="Q459">
        <v>350</v>
      </c>
    </row>
    <row r="460" spans="3:17">
      <c r="C460" t="s">
        <v>525</v>
      </c>
      <c r="D460" t="s">
        <v>526</v>
      </c>
      <c r="E460" t="s">
        <v>572</v>
      </c>
      <c r="G460" t="s">
        <v>578</v>
      </c>
      <c r="I460">
        <v>2200000673</v>
      </c>
      <c r="P460" t="s">
        <v>183</v>
      </c>
      <c r="Q460" t="s">
        <v>579</v>
      </c>
    </row>
    <row r="461" spans="3:17">
      <c r="C461" t="s">
        <v>525</v>
      </c>
      <c r="D461" t="s">
        <v>526</v>
      </c>
      <c r="E461" t="s">
        <v>572</v>
      </c>
      <c r="G461" t="s">
        <v>580</v>
      </c>
      <c r="I461">
        <v>2200000341</v>
      </c>
      <c r="P461" t="s">
        <v>72</v>
      </c>
      <c r="Q461">
        <v>200</v>
      </c>
    </row>
    <row r="462" spans="3:17">
      <c r="C462" t="s">
        <v>525</v>
      </c>
      <c r="D462" t="s">
        <v>526</v>
      </c>
      <c r="E462" t="s">
        <v>572</v>
      </c>
      <c r="G462" t="s">
        <v>487</v>
      </c>
      <c r="I462">
        <v>2200000398</v>
      </c>
      <c r="P462" t="s">
        <v>73</v>
      </c>
      <c r="Q462">
        <v>76</v>
      </c>
    </row>
    <row r="463" spans="3:17">
      <c r="C463" t="s">
        <v>525</v>
      </c>
      <c r="D463" t="s">
        <v>526</v>
      </c>
      <c r="E463" t="s">
        <v>572</v>
      </c>
      <c r="G463" t="s">
        <v>580</v>
      </c>
      <c r="I463">
        <v>2200000403</v>
      </c>
      <c r="P463" t="s">
        <v>72</v>
      </c>
      <c r="Q463">
        <v>100</v>
      </c>
    </row>
    <row r="464" spans="3:17">
      <c r="C464" t="s">
        <v>525</v>
      </c>
      <c r="D464" t="s">
        <v>526</v>
      </c>
      <c r="E464" t="s">
        <v>572</v>
      </c>
      <c r="G464" t="s">
        <v>487</v>
      </c>
      <c r="I464">
        <v>2200000427</v>
      </c>
      <c r="P464" t="s">
        <v>73</v>
      </c>
      <c r="Q464">
        <v>76</v>
      </c>
    </row>
    <row r="465" spans="3:17">
      <c r="C465" t="s">
        <v>525</v>
      </c>
      <c r="D465" t="s">
        <v>526</v>
      </c>
      <c r="E465" t="s">
        <v>572</v>
      </c>
      <c r="G465" t="s">
        <v>581</v>
      </c>
      <c r="I465">
        <v>2200000311</v>
      </c>
      <c r="P465" t="s">
        <v>183</v>
      </c>
      <c r="Q465" t="s">
        <v>582</v>
      </c>
    </row>
    <row r="466" spans="3:17">
      <c r="C466" t="s">
        <v>525</v>
      </c>
      <c r="D466" t="s">
        <v>526</v>
      </c>
      <c r="E466" t="s">
        <v>572</v>
      </c>
      <c r="G466" t="s">
        <v>583</v>
      </c>
      <c r="I466">
        <v>2200000458</v>
      </c>
      <c r="P466" t="s">
        <v>183</v>
      </c>
      <c r="Q466">
        <v>337.36</v>
      </c>
    </row>
    <row r="467" spans="3:17">
      <c r="C467" t="s">
        <v>525</v>
      </c>
      <c r="D467" t="s">
        <v>526</v>
      </c>
      <c r="E467" t="s">
        <v>572</v>
      </c>
      <c r="G467" t="s">
        <v>583</v>
      </c>
      <c r="I467">
        <v>2200000515</v>
      </c>
      <c r="P467" t="s">
        <v>183</v>
      </c>
      <c r="Q467">
        <v>11.63</v>
      </c>
    </row>
    <row r="468" spans="3:17">
      <c r="C468" t="s">
        <v>525</v>
      </c>
      <c r="D468" t="s">
        <v>526</v>
      </c>
      <c r="E468" t="s">
        <v>572</v>
      </c>
      <c r="G468" t="s">
        <v>175</v>
      </c>
      <c r="I468">
        <v>2200000500</v>
      </c>
      <c r="P468" t="s">
        <v>73</v>
      </c>
      <c r="Q468">
        <v>150</v>
      </c>
    </row>
    <row r="469" spans="3:17">
      <c r="C469" t="s">
        <v>525</v>
      </c>
      <c r="D469" t="s">
        <v>526</v>
      </c>
      <c r="E469" t="s">
        <v>572</v>
      </c>
      <c r="G469" t="s">
        <v>175</v>
      </c>
      <c r="I469">
        <v>2200000511</v>
      </c>
      <c r="P469" t="s">
        <v>72</v>
      </c>
      <c r="Q469">
        <v>200</v>
      </c>
    </row>
    <row r="470" spans="3:17">
      <c r="C470" t="s">
        <v>525</v>
      </c>
      <c r="D470" t="s">
        <v>526</v>
      </c>
      <c r="E470" t="s">
        <v>584</v>
      </c>
      <c r="G470" t="s">
        <v>585</v>
      </c>
      <c r="I470">
        <v>2200000247</v>
      </c>
      <c r="P470" t="s">
        <v>72</v>
      </c>
      <c r="Q470">
        <v>250</v>
      </c>
    </row>
    <row r="471" spans="3:17">
      <c r="C471" t="s">
        <v>525</v>
      </c>
      <c r="D471" t="s">
        <v>526</v>
      </c>
      <c r="E471" t="s">
        <v>584</v>
      </c>
      <c r="G471" t="s">
        <v>330</v>
      </c>
      <c r="I471">
        <v>2200000461</v>
      </c>
      <c r="P471" t="s">
        <v>72</v>
      </c>
      <c r="Q471">
        <v>100</v>
      </c>
    </row>
    <row r="472" spans="3:17">
      <c r="C472" t="s">
        <v>525</v>
      </c>
      <c r="D472" t="s">
        <v>526</v>
      </c>
      <c r="E472" t="s">
        <v>584</v>
      </c>
      <c r="G472" t="s">
        <v>330</v>
      </c>
      <c r="I472">
        <v>2200000460</v>
      </c>
      <c r="P472" t="s">
        <v>72</v>
      </c>
      <c r="Q472">
        <v>150</v>
      </c>
    </row>
    <row r="473" spans="3:17">
      <c r="C473" t="s">
        <v>525</v>
      </c>
      <c r="D473" t="s">
        <v>526</v>
      </c>
      <c r="E473" t="s">
        <v>584</v>
      </c>
      <c r="G473" t="s">
        <v>586</v>
      </c>
      <c r="I473">
        <v>2200000546</v>
      </c>
      <c r="P473" t="s">
        <v>72</v>
      </c>
      <c r="Q473">
        <v>50</v>
      </c>
    </row>
    <row r="474" spans="3:17">
      <c r="C474" t="s">
        <v>525</v>
      </c>
      <c r="D474" t="s">
        <v>526</v>
      </c>
      <c r="E474" t="s">
        <v>587</v>
      </c>
      <c r="G474" t="s">
        <v>394</v>
      </c>
      <c r="I474">
        <v>2200001014</v>
      </c>
      <c r="P474" t="s">
        <v>72</v>
      </c>
      <c r="Q474">
        <v>200</v>
      </c>
    </row>
    <row r="475" spans="3:17">
      <c r="C475" t="s">
        <v>525</v>
      </c>
      <c r="D475" t="s">
        <v>526</v>
      </c>
      <c r="E475" t="s">
        <v>587</v>
      </c>
      <c r="G475" t="s">
        <v>394</v>
      </c>
      <c r="I475">
        <v>2200001020</v>
      </c>
      <c r="P475" t="s">
        <v>72</v>
      </c>
      <c r="Q475">
        <v>200</v>
      </c>
    </row>
    <row r="476" spans="3:17">
      <c r="C476" t="s">
        <v>525</v>
      </c>
      <c r="D476" t="s">
        <v>526</v>
      </c>
      <c r="E476" t="s">
        <v>587</v>
      </c>
      <c r="G476" t="s">
        <v>188</v>
      </c>
      <c r="I476">
        <v>2200000993</v>
      </c>
      <c r="P476" t="s">
        <v>72</v>
      </c>
      <c r="Q476">
        <v>300</v>
      </c>
    </row>
    <row r="477" spans="3:17">
      <c r="C477" t="s">
        <v>525</v>
      </c>
      <c r="D477" t="s">
        <v>526</v>
      </c>
      <c r="E477" t="s">
        <v>587</v>
      </c>
      <c r="G477" t="s">
        <v>188</v>
      </c>
      <c r="I477">
        <v>2200000988</v>
      </c>
      <c r="P477" t="s">
        <v>72</v>
      </c>
      <c r="Q477">
        <v>300</v>
      </c>
    </row>
    <row r="478" spans="3:17">
      <c r="C478" t="s">
        <v>525</v>
      </c>
      <c r="D478" t="s">
        <v>526</v>
      </c>
      <c r="E478" t="s">
        <v>587</v>
      </c>
      <c r="G478" t="s">
        <v>188</v>
      </c>
      <c r="I478">
        <v>2200000989</v>
      </c>
      <c r="P478" t="s">
        <v>72</v>
      </c>
      <c r="Q478">
        <v>100</v>
      </c>
    </row>
    <row r="479" spans="3:17">
      <c r="C479" t="s">
        <v>525</v>
      </c>
      <c r="D479" t="s">
        <v>526</v>
      </c>
      <c r="E479" t="s">
        <v>587</v>
      </c>
      <c r="G479" t="s">
        <v>588</v>
      </c>
      <c r="I479">
        <v>2200000612</v>
      </c>
      <c r="P479" t="s">
        <v>72</v>
      </c>
      <c r="Q479">
        <v>200</v>
      </c>
    </row>
    <row r="480" spans="3:17">
      <c r="C480" t="s">
        <v>525</v>
      </c>
      <c r="D480" t="s">
        <v>526</v>
      </c>
      <c r="E480" t="s">
        <v>587</v>
      </c>
      <c r="G480" t="s">
        <v>589</v>
      </c>
      <c r="I480">
        <v>2200000614</v>
      </c>
      <c r="P480" t="s">
        <v>72</v>
      </c>
      <c r="Q480">
        <v>200</v>
      </c>
    </row>
    <row r="481" spans="3:17">
      <c r="C481" t="s">
        <v>525</v>
      </c>
      <c r="D481" t="s">
        <v>526</v>
      </c>
      <c r="E481" t="s">
        <v>587</v>
      </c>
      <c r="G481" t="s">
        <v>590</v>
      </c>
      <c r="I481">
        <v>2200000650</v>
      </c>
      <c r="P481" t="s">
        <v>72</v>
      </c>
      <c r="Q481">
        <v>200</v>
      </c>
    </row>
    <row r="482" spans="3:17">
      <c r="C482" t="s">
        <v>525</v>
      </c>
      <c r="D482" t="s">
        <v>591</v>
      </c>
      <c r="E482" t="s">
        <v>592</v>
      </c>
      <c r="G482" t="s">
        <v>593</v>
      </c>
      <c r="I482">
        <v>2200000070</v>
      </c>
      <c r="P482" t="s">
        <v>73</v>
      </c>
      <c r="Q482">
        <v>300</v>
      </c>
    </row>
    <row r="483" spans="3:17">
      <c r="C483" t="s">
        <v>525</v>
      </c>
      <c r="D483" t="s">
        <v>591</v>
      </c>
      <c r="E483" t="s">
        <v>592</v>
      </c>
      <c r="G483" t="s">
        <v>594</v>
      </c>
      <c r="I483">
        <v>2200000298</v>
      </c>
      <c r="P483" t="s">
        <v>73</v>
      </c>
      <c r="Q483">
        <v>300</v>
      </c>
    </row>
    <row r="484" spans="3:17">
      <c r="C484" t="s">
        <v>525</v>
      </c>
      <c r="D484" t="s">
        <v>591</v>
      </c>
      <c r="E484" t="s">
        <v>595</v>
      </c>
      <c r="G484" t="s">
        <v>596</v>
      </c>
      <c r="I484">
        <v>2200000089</v>
      </c>
      <c r="P484" t="s">
        <v>415</v>
      </c>
      <c r="Q484">
        <v>504</v>
      </c>
    </row>
    <row r="485" spans="3:17">
      <c r="C485" t="s">
        <v>525</v>
      </c>
      <c r="D485" t="s">
        <v>591</v>
      </c>
      <c r="E485" t="s">
        <v>595</v>
      </c>
      <c r="G485" t="s">
        <v>596</v>
      </c>
      <c r="I485">
        <v>2200000090</v>
      </c>
      <c r="P485" t="s">
        <v>415</v>
      </c>
      <c r="Q485">
        <v>504</v>
      </c>
    </row>
    <row r="486" spans="3:17">
      <c r="C486" t="s">
        <v>525</v>
      </c>
      <c r="D486" t="s">
        <v>591</v>
      </c>
      <c r="E486" t="s">
        <v>595</v>
      </c>
      <c r="G486" t="s">
        <v>596</v>
      </c>
      <c r="I486">
        <v>2200000091</v>
      </c>
      <c r="P486" t="s">
        <v>415</v>
      </c>
      <c r="Q486">
        <v>504</v>
      </c>
    </row>
    <row r="487" spans="3:17">
      <c r="C487" t="s">
        <v>525</v>
      </c>
      <c r="D487" t="s">
        <v>591</v>
      </c>
      <c r="E487" t="s">
        <v>595</v>
      </c>
      <c r="G487" t="s">
        <v>169</v>
      </c>
      <c r="I487">
        <v>2200000924</v>
      </c>
      <c r="P487" t="s">
        <v>72</v>
      </c>
      <c r="Q487">
        <v>150</v>
      </c>
    </row>
    <row r="488" spans="3:17">
      <c r="C488" t="s">
        <v>525</v>
      </c>
      <c r="D488" t="s">
        <v>591</v>
      </c>
      <c r="E488" t="s">
        <v>595</v>
      </c>
      <c r="G488" t="s">
        <v>597</v>
      </c>
      <c r="I488">
        <v>2200000899</v>
      </c>
      <c r="P488" t="s">
        <v>73</v>
      </c>
      <c r="Q488">
        <v>300</v>
      </c>
    </row>
    <row r="489" spans="3:17">
      <c r="C489" t="s">
        <v>525</v>
      </c>
      <c r="D489" t="s">
        <v>591</v>
      </c>
      <c r="E489" t="s">
        <v>595</v>
      </c>
      <c r="G489" t="s">
        <v>598</v>
      </c>
      <c r="I489">
        <v>2200000976</v>
      </c>
      <c r="P489" t="s">
        <v>183</v>
      </c>
      <c r="Q489" t="s">
        <v>599</v>
      </c>
    </row>
    <row r="490" spans="3:17">
      <c r="C490" t="s">
        <v>525</v>
      </c>
      <c r="D490" t="s">
        <v>591</v>
      </c>
      <c r="E490" t="s">
        <v>595</v>
      </c>
      <c r="G490" t="s">
        <v>600</v>
      </c>
      <c r="I490">
        <v>2200000720</v>
      </c>
      <c r="P490" t="s">
        <v>183</v>
      </c>
      <c r="Q490" t="s">
        <v>601</v>
      </c>
    </row>
    <row r="491" spans="3:17">
      <c r="C491" t="s">
        <v>525</v>
      </c>
      <c r="D491" t="s">
        <v>591</v>
      </c>
      <c r="E491" t="s">
        <v>595</v>
      </c>
      <c r="G491" t="s">
        <v>602</v>
      </c>
      <c r="I491">
        <v>2200000798</v>
      </c>
      <c r="P491" t="s">
        <v>183</v>
      </c>
      <c r="Q491" t="s">
        <v>603</v>
      </c>
    </row>
    <row r="492" spans="3:17">
      <c r="C492" t="s">
        <v>525</v>
      </c>
      <c r="D492" t="s">
        <v>591</v>
      </c>
      <c r="E492" t="s">
        <v>595</v>
      </c>
      <c r="G492" t="s">
        <v>604</v>
      </c>
      <c r="I492">
        <v>2200000752</v>
      </c>
      <c r="P492" t="s">
        <v>72</v>
      </c>
      <c r="Q492">
        <v>200</v>
      </c>
    </row>
    <row r="493" spans="3:17">
      <c r="C493" t="s">
        <v>525</v>
      </c>
      <c r="D493" t="s">
        <v>591</v>
      </c>
      <c r="E493" t="s">
        <v>595</v>
      </c>
      <c r="G493" t="s">
        <v>175</v>
      </c>
      <c r="I493">
        <v>2200000428</v>
      </c>
      <c r="P493" t="s">
        <v>73</v>
      </c>
      <c r="Q493">
        <v>300</v>
      </c>
    </row>
    <row r="494" spans="3:17">
      <c r="C494" t="s">
        <v>525</v>
      </c>
      <c r="D494" t="s">
        <v>591</v>
      </c>
      <c r="E494" t="s">
        <v>605</v>
      </c>
      <c r="G494" t="s">
        <v>178</v>
      </c>
      <c r="I494">
        <v>2200000728</v>
      </c>
      <c r="P494" t="s">
        <v>72</v>
      </c>
      <c r="Q494">
        <v>500</v>
      </c>
    </row>
    <row r="495" spans="3:17">
      <c r="C495" t="s">
        <v>525</v>
      </c>
      <c r="D495" t="s">
        <v>591</v>
      </c>
      <c r="E495" t="s">
        <v>605</v>
      </c>
      <c r="G495" t="s">
        <v>178</v>
      </c>
      <c r="I495">
        <v>2200000938</v>
      </c>
      <c r="P495" t="s">
        <v>72</v>
      </c>
      <c r="Q495">
        <v>500</v>
      </c>
    </row>
    <row r="496" spans="3:17">
      <c r="C496" t="s">
        <v>525</v>
      </c>
      <c r="D496" t="s">
        <v>591</v>
      </c>
      <c r="E496" t="s">
        <v>606</v>
      </c>
      <c r="G496" t="s">
        <v>607</v>
      </c>
      <c r="I496">
        <v>2200000030</v>
      </c>
      <c r="P496" t="s">
        <v>72</v>
      </c>
      <c r="Q496">
        <v>235</v>
      </c>
    </row>
    <row r="497" spans="3:17">
      <c r="C497" t="s">
        <v>525</v>
      </c>
      <c r="D497" t="s">
        <v>591</v>
      </c>
      <c r="E497" t="s">
        <v>606</v>
      </c>
      <c r="G497" t="s">
        <v>608</v>
      </c>
      <c r="I497">
        <v>2200000085</v>
      </c>
      <c r="P497" t="s">
        <v>73</v>
      </c>
      <c r="Q497">
        <v>163.19999999999999</v>
      </c>
    </row>
    <row r="498" spans="3:17">
      <c r="C498" t="s">
        <v>525</v>
      </c>
      <c r="D498" t="s">
        <v>591</v>
      </c>
      <c r="E498" t="s">
        <v>606</v>
      </c>
      <c r="G498" t="s">
        <v>609</v>
      </c>
      <c r="I498">
        <v>2200000086</v>
      </c>
      <c r="P498" t="s">
        <v>183</v>
      </c>
      <c r="Q498">
        <v>100</v>
      </c>
    </row>
    <row r="499" spans="3:17">
      <c r="C499" t="s">
        <v>525</v>
      </c>
      <c r="D499" t="s">
        <v>591</v>
      </c>
      <c r="E499" t="s">
        <v>606</v>
      </c>
      <c r="G499" t="s">
        <v>178</v>
      </c>
      <c r="I499">
        <v>2200000267</v>
      </c>
      <c r="P499" t="s">
        <v>72</v>
      </c>
      <c r="Q499">
        <v>250</v>
      </c>
    </row>
    <row r="500" spans="3:17">
      <c r="C500" t="s">
        <v>525</v>
      </c>
      <c r="D500" t="s">
        <v>591</v>
      </c>
      <c r="E500" t="s">
        <v>606</v>
      </c>
      <c r="G500" t="s">
        <v>609</v>
      </c>
      <c r="I500">
        <v>2200000342</v>
      </c>
      <c r="P500" t="s">
        <v>183</v>
      </c>
      <c r="Q500">
        <v>81</v>
      </c>
    </row>
    <row r="501" spans="3:17">
      <c r="C501" t="s">
        <v>525</v>
      </c>
      <c r="D501" t="s">
        <v>591</v>
      </c>
      <c r="E501" t="s">
        <v>606</v>
      </c>
      <c r="G501" t="s">
        <v>610</v>
      </c>
      <c r="I501">
        <v>2200000404</v>
      </c>
      <c r="P501" t="s">
        <v>183</v>
      </c>
      <c r="Q501" t="s">
        <v>611</v>
      </c>
    </row>
    <row r="502" spans="3:17">
      <c r="C502" t="s">
        <v>525</v>
      </c>
      <c r="D502" t="s">
        <v>591</v>
      </c>
      <c r="E502" t="s">
        <v>606</v>
      </c>
      <c r="G502" t="s">
        <v>612</v>
      </c>
      <c r="I502">
        <v>2200000356</v>
      </c>
      <c r="P502" t="s">
        <v>73</v>
      </c>
      <c r="Q502">
        <v>76.8</v>
      </c>
    </row>
    <row r="503" spans="3:17">
      <c r="C503" t="s">
        <v>525</v>
      </c>
      <c r="D503" t="s">
        <v>591</v>
      </c>
      <c r="E503" t="s">
        <v>606</v>
      </c>
      <c r="G503" t="s">
        <v>169</v>
      </c>
      <c r="I503">
        <v>2200000502</v>
      </c>
      <c r="P503" t="s">
        <v>72</v>
      </c>
      <c r="Q503">
        <v>400</v>
      </c>
    </row>
    <row r="504" spans="3:17">
      <c r="C504" t="s">
        <v>525</v>
      </c>
      <c r="D504" t="s">
        <v>591</v>
      </c>
      <c r="E504" t="s">
        <v>606</v>
      </c>
      <c r="G504" t="s">
        <v>613</v>
      </c>
      <c r="I504">
        <v>2200000082</v>
      </c>
      <c r="P504" t="s">
        <v>72</v>
      </c>
      <c r="Q504">
        <v>50</v>
      </c>
    </row>
    <row r="505" spans="3:17">
      <c r="C505" t="s">
        <v>525</v>
      </c>
      <c r="D505" t="s">
        <v>591</v>
      </c>
      <c r="E505" t="s">
        <v>606</v>
      </c>
      <c r="G505" t="s">
        <v>496</v>
      </c>
      <c r="I505">
        <v>2200000617</v>
      </c>
      <c r="P505" t="s">
        <v>72</v>
      </c>
      <c r="Q505">
        <v>300</v>
      </c>
    </row>
    <row r="506" spans="3:17">
      <c r="C506" t="s">
        <v>525</v>
      </c>
      <c r="D506" t="s">
        <v>591</v>
      </c>
      <c r="E506" t="s">
        <v>606</v>
      </c>
      <c r="G506" t="s">
        <v>178</v>
      </c>
      <c r="I506">
        <v>2200000817</v>
      </c>
      <c r="P506" t="s">
        <v>183</v>
      </c>
      <c r="Q506" t="s">
        <v>614</v>
      </c>
    </row>
    <row r="507" spans="3:17">
      <c r="C507" t="s">
        <v>525</v>
      </c>
      <c r="D507" t="s">
        <v>591</v>
      </c>
      <c r="E507" t="s">
        <v>606</v>
      </c>
      <c r="G507" t="s">
        <v>304</v>
      </c>
      <c r="I507">
        <v>2200000883</v>
      </c>
      <c r="P507" t="s">
        <v>73</v>
      </c>
      <c r="Q507">
        <v>297</v>
      </c>
    </row>
    <row r="508" spans="3:17">
      <c r="C508" t="s">
        <v>525</v>
      </c>
      <c r="D508" t="s">
        <v>591</v>
      </c>
      <c r="E508" t="s">
        <v>606</v>
      </c>
      <c r="G508" t="s">
        <v>615</v>
      </c>
      <c r="I508">
        <v>2200000923</v>
      </c>
      <c r="P508" t="s">
        <v>73</v>
      </c>
      <c r="Q508">
        <v>100</v>
      </c>
    </row>
    <row r="509" spans="3:17">
      <c r="C509" t="s">
        <v>525</v>
      </c>
      <c r="D509" t="s">
        <v>591</v>
      </c>
      <c r="E509" t="s">
        <v>606</v>
      </c>
      <c r="G509" t="s">
        <v>178</v>
      </c>
      <c r="I509">
        <v>2200000956</v>
      </c>
      <c r="P509" t="s">
        <v>72</v>
      </c>
      <c r="Q509">
        <v>240</v>
      </c>
    </row>
    <row r="510" spans="3:17">
      <c r="C510" t="s">
        <v>525</v>
      </c>
      <c r="D510" t="s">
        <v>591</v>
      </c>
      <c r="E510" t="s">
        <v>606</v>
      </c>
      <c r="G510" t="s">
        <v>616</v>
      </c>
      <c r="I510">
        <v>2200000995</v>
      </c>
      <c r="P510" t="s">
        <v>183</v>
      </c>
      <c r="Q510" t="s">
        <v>617</v>
      </c>
    </row>
    <row r="511" spans="3:17">
      <c r="C511" t="s">
        <v>525</v>
      </c>
      <c r="D511" t="s">
        <v>591</v>
      </c>
      <c r="E511" t="s">
        <v>618</v>
      </c>
      <c r="G511" t="s">
        <v>345</v>
      </c>
      <c r="I511">
        <v>2200000039</v>
      </c>
      <c r="P511" t="s">
        <v>73</v>
      </c>
      <c r="Q511">
        <v>100</v>
      </c>
    </row>
    <row r="512" spans="3:17">
      <c r="C512" t="s">
        <v>525</v>
      </c>
      <c r="D512" t="s">
        <v>591</v>
      </c>
      <c r="E512" t="s">
        <v>618</v>
      </c>
      <c r="G512" t="s">
        <v>586</v>
      </c>
      <c r="I512">
        <v>2200000028</v>
      </c>
      <c r="P512" t="s">
        <v>73</v>
      </c>
      <c r="Q512">
        <v>42</v>
      </c>
    </row>
    <row r="513" spans="3:17">
      <c r="C513" t="s">
        <v>525</v>
      </c>
      <c r="D513" t="s">
        <v>591</v>
      </c>
      <c r="E513" t="s">
        <v>618</v>
      </c>
      <c r="G513" t="s">
        <v>586</v>
      </c>
      <c r="I513">
        <v>2200000022</v>
      </c>
      <c r="P513" t="s">
        <v>73</v>
      </c>
      <c r="Q513">
        <v>100</v>
      </c>
    </row>
    <row r="514" spans="3:17">
      <c r="C514" t="s">
        <v>525</v>
      </c>
      <c r="D514" t="s">
        <v>591</v>
      </c>
      <c r="E514" t="s">
        <v>618</v>
      </c>
      <c r="G514" t="s">
        <v>345</v>
      </c>
      <c r="I514">
        <v>2200000133</v>
      </c>
      <c r="P514" t="s">
        <v>73</v>
      </c>
      <c r="Q514">
        <v>67.2</v>
      </c>
    </row>
    <row r="515" spans="3:17">
      <c r="C515" t="s">
        <v>525</v>
      </c>
      <c r="D515" t="s">
        <v>591</v>
      </c>
      <c r="E515" t="s">
        <v>618</v>
      </c>
      <c r="G515" t="s">
        <v>586</v>
      </c>
      <c r="I515">
        <v>2200000340</v>
      </c>
      <c r="P515" t="s">
        <v>73</v>
      </c>
      <c r="Q515">
        <v>82</v>
      </c>
    </row>
    <row r="516" spans="3:17">
      <c r="C516" t="s">
        <v>525</v>
      </c>
      <c r="D516" t="s">
        <v>591</v>
      </c>
      <c r="E516" t="s">
        <v>618</v>
      </c>
      <c r="G516" t="s">
        <v>586</v>
      </c>
      <c r="I516">
        <v>2200000819</v>
      </c>
      <c r="P516" t="s">
        <v>73</v>
      </c>
      <c r="Q516">
        <v>16.8</v>
      </c>
    </row>
    <row r="517" spans="3:17">
      <c r="C517" t="s">
        <v>525</v>
      </c>
      <c r="D517" t="s">
        <v>619</v>
      </c>
      <c r="E517" t="s">
        <v>620</v>
      </c>
      <c r="G517" t="s">
        <v>178</v>
      </c>
      <c r="I517">
        <v>2200000081</v>
      </c>
      <c r="P517" t="s">
        <v>73</v>
      </c>
      <c r="Q517">
        <v>50</v>
      </c>
    </row>
    <row r="518" spans="3:17">
      <c r="C518" t="s">
        <v>525</v>
      </c>
      <c r="D518" t="s">
        <v>619</v>
      </c>
      <c r="E518" t="s">
        <v>620</v>
      </c>
      <c r="G518" t="s">
        <v>178</v>
      </c>
      <c r="I518">
        <v>2200001036</v>
      </c>
      <c r="P518" t="s">
        <v>73</v>
      </c>
      <c r="Q518">
        <v>160</v>
      </c>
    </row>
    <row r="519" spans="3:17">
      <c r="C519" t="s">
        <v>525</v>
      </c>
      <c r="D519" t="s">
        <v>619</v>
      </c>
      <c r="E519" t="s">
        <v>620</v>
      </c>
      <c r="G519" t="s">
        <v>178</v>
      </c>
      <c r="I519">
        <v>2200001035</v>
      </c>
      <c r="P519" t="s">
        <v>73</v>
      </c>
      <c r="Q519">
        <v>80</v>
      </c>
    </row>
    <row r="520" spans="3:17">
      <c r="C520" t="s">
        <v>525</v>
      </c>
      <c r="D520" t="s">
        <v>619</v>
      </c>
      <c r="E520" t="s">
        <v>621</v>
      </c>
      <c r="G520" t="s">
        <v>622</v>
      </c>
      <c r="I520">
        <v>2200000035</v>
      </c>
      <c r="P520" t="s">
        <v>73</v>
      </c>
      <c r="Q520">
        <v>29.7</v>
      </c>
    </row>
    <row r="521" spans="3:17">
      <c r="C521" t="s">
        <v>525</v>
      </c>
      <c r="D521" t="s">
        <v>619</v>
      </c>
      <c r="E521" t="s">
        <v>621</v>
      </c>
      <c r="G521" t="s">
        <v>387</v>
      </c>
      <c r="I521">
        <v>2200000193</v>
      </c>
      <c r="P521" t="s">
        <v>73</v>
      </c>
      <c r="Q521">
        <v>101</v>
      </c>
    </row>
    <row r="522" spans="3:17">
      <c r="C522" t="s">
        <v>525</v>
      </c>
      <c r="D522" t="s">
        <v>619</v>
      </c>
      <c r="E522" t="s">
        <v>621</v>
      </c>
      <c r="G522" t="s">
        <v>623</v>
      </c>
      <c r="I522">
        <v>2200000198</v>
      </c>
      <c r="P522" t="s">
        <v>73</v>
      </c>
      <c r="Q522">
        <v>250</v>
      </c>
    </row>
    <row r="523" spans="3:17">
      <c r="C523" t="s">
        <v>525</v>
      </c>
      <c r="D523" t="s">
        <v>619</v>
      </c>
      <c r="E523" t="s">
        <v>621</v>
      </c>
      <c r="G523" t="s">
        <v>218</v>
      </c>
      <c r="I523">
        <v>2200000277</v>
      </c>
      <c r="P523" t="s">
        <v>73</v>
      </c>
      <c r="Q523">
        <v>200</v>
      </c>
    </row>
    <row r="524" spans="3:17">
      <c r="C524" t="s">
        <v>525</v>
      </c>
      <c r="D524" t="s">
        <v>619</v>
      </c>
      <c r="E524" t="s">
        <v>621</v>
      </c>
      <c r="G524" t="s">
        <v>218</v>
      </c>
      <c r="I524">
        <v>2200000302</v>
      </c>
      <c r="P524" t="s">
        <v>73</v>
      </c>
      <c r="Q524">
        <v>100</v>
      </c>
    </row>
    <row r="525" spans="3:17">
      <c r="C525" t="s">
        <v>525</v>
      </c>
      <c r="D525" t="s">
        <v>619</v>
      </c>
      <c r="E525" t="s">
        <v>621</v>
      </c>
      <c r="G525" t="s">
        <v>218</v>
      </c>
      <c r="I525">
        <v>2200001090</v>
      </c>
      <c r="P525" t="s">
        <v>73</v>
      </c>
      <c r="Q525">
        <v>150</v>
      </c>
    </row>
    <row r="526" spans="3:17">
      <c r="C526" t="s">
        <v>525</v>
      </c>
      <c r="D526" t="s">
        <v>619</v>
      </c>
      <c r="E526" t="s">
        <v>621</v>
      </c>
      <c r="G526" t="s">
        <v>624</v>
      </c>
      <c r="I526">
        <v>231400004</v>
      </c>
      <c r="P526" t="s">
        <v>73</v>
      </c>
      <c r="Q526">
        <v>10</v>
      </c>
    </row>
    <row r="527" spans="3:17">
      <c r="C527" t="s">
        <v>525</v>
      </c>
      <c r="D527" t="s">
        <v>619</v>
      </c>
      <c r="E527" t="s">
        <v>621</v>
      </c>
      <c r="G527" t="s">
        <v>624</v>
      </c>
      <c r="I527">
        <v>331400007</v>
      </c>
      <c r="P527" t="s">
        <v>73</v>
      </c>
      <c r="Q527">
        <v>140</v>
      </c>
    </row>
    <row r="528" spans="3:17">
      <c r="C528" t="s">
        <v>525</v>
      </c>
      <c r="D528" t="s">
        <v>619</v>
      </c>
      <c r="E528" t="s">
        <v>621</v>
      </c>
      <c r="G528" t="s">
        <v>625</v>
      </c>
      <c r="I528">
        <v>1200003942</v>
      </c>
      <c r="P528" t="s">
        <v>73</v>
      </c>
      <c r="Q528">
        <v>33</v>
      </c>
    </row>
    <row r="529" spans="3:17">
      <c r="C529" t="s">
        <v>525</v>
      </c>
      <c r="D529" t="s">
        <v>619</v>
      </c>
      <c r="E529" t="s">
        <v>621</v>
      </c>
      <c r="G529" t="s">
        <v>626</v>
      </c>
      <c r="I529">
        <v>1200003901</v>
      </c>
      <c r="P529" t="s">
        <v>73</v>
      </c>
      <c r="Q529">
        <v>200</v>
      </c>
    </row>
    <row r="530" spans="3:17">
      <c r="C530" t="s">
        <v>525</v>
      </c>
      <c r="D530" t="s">
        <v>619</v>
      </c>
      <c r="E530" t="s">
        <v>621</v>
      </c>
      <c r="G530" t="s">
        <v>626</v>
      </c>
      <c r="I530">
        <v>1200003944</v>
      </c>
      <c r="P530" t="s">
        <v>73</v>
      </c>
      <c r="Q530">
        <v>99</v>
      </c>
    </row>
    <row r="531" spans="3:17">
      <c r="C531" t="s">
        <v>525</v>
      </c>
      <c r="D531" t="s">
        <v>619</v>
      </c>
      <c r="E531" t="s">
        <v>621</v>
      </c>
      <c r="G531" t="s">
        <v>626</v>
      </c>
      <c r="I531">
        <v>331400002</v>
      </c>
      <c r="P531" t="s">
        <v>73</v>
      </c>
      <c r="Q531">
        <v>21.6</v>
      </c>
    </row>
    <row r="532" spans="3:17">
      <c r="C532" t="s">
        <v>525</v>
      </c>
      <c r="D532" t="s">
        <v>619</v>
      </c>
      <c r="E532" t="s">
        <v>621</v>
      </c>
      <c r="G532" t="s">
        <v>627</v>
      </c>
      <c r="I532">
        <v>1670224223993</v>
      </c>
      <c r="P532" t="s">
        <v>73</v>
      </c>
      <c r="Q532">
        <v>66</v>
      </c>
    </row>
    <row r="533" spans="3:17">
      <c r="C533" t="s">
        <v>525</v>
      </c>
      <c r="D533" t="s">
        <v>619</v>
      </c>
      <c r="E533" t="s">
        <v>621</v>
      </c>
      <c r="G533" t="s">
        <v>627</v>
      </c>
      <c r="I533">
        <v>331400013</v>
      </c>
      <c r="P533" t="s">
        <v>73</v>
      </c>
      <c r="Q533">
        <v>92</v>
      </c>
    </row>
    <row r="534" spans="3:17">
      <c r="C534" t="s">
        <v>525</v>
      </c>
      <c r="D534" t="s">
        <v>619</v>
      </c>
      <c r="E534" t="s">
        <v>621</v>
      </c>
      <c r="G534" t="s">
        <v>387</v>
      </c>
      <c r="I534">
        <v>2200000395</v>
      </c>
      <c r="P534" t="s">
        <v>73</v>
      </c>
      <c r="Q534">
        <v>101</v>
      </c>
    </row>
    <row r="535" spans="3:17">
      <c r="C535" t="s">
        <v>525</v>
      </c>
      <c r="D535" t="s">
        <v>619</v>
      </c>
      <c r="E535" t="s">
        <v>621</v>
      </c>
      <c r="G535" t="s">
        <v>387</v>
      </c>
      <c r="I535">
        <v>2200000450</v>
      </c>
      <c r="P535" t="s">
        <v>73</v>
      </c>
      <c r="Q535">
        <v>100.8</v>
      </c>
    </row>
    <row r="536" spans="3:17">
      <c r="C536" t="s">
        <v>525</v>
      </c>
      <c r="D536" t="s">
        <v>619</v>
      </c>
      <c r="E536" t="s">
        <v>621</v>
      </c>
      <c r="G536" t="s">
        <v>178</v>
      </c>
      <c r="I536">
        <v>2200000075</v>
      </c>
      <c r="P536" t="s">
        <v>73</v>
      </c>
      <c r="Q536">
        <v>50</v>
      </c>
    </row>
    <row r="537" spans="3:17">
      <c r="C537" t="s">
        <v>525</v>
      </c>
      <c r="D537" t="s">
        <v>619</v>
      </c>
      <c r="E537" t="s">
        <v>621</v>
      </c>
      <c r="G537" t="s">
        <v>178</v>
      </c>
      <c r="I537">
        <v>2200000353</v>
      </c>
      <c r="P537" t="s">
        <v>73</v>
      </c>
      <c r="Q537">
        <v>250</v>
      </c>
    </row>
    <row r="538" spans="3:17">
      <c r="C538" t="s">
        <v>525</v>
      </c>
      <c r="D538" t="s">
        <v>619</v>
      </c>
      <c r="E538" t="s">
        <v>628</v>
      </c>
      <c r="G538" t="s">
        <v>387</v>
      </c>
      <c r="I538">
        <v>2200000747</v>
      </c>
      <c r="P538" t="s">
        <v>73</v>
      </c>
      <c r="Q538">
        <v>180</v>
      </c>
    </row>
    <row r="539" spans="3:17">
      <c r="C539" t="s">
        <v>525</v>
      </c>
      <c r="D539" t="s">
        <v>619</v>
      </c>
      <c r="E539" t="s">
        <v>629</v>
      </c>
      <c r="G539" t="s">
        <v>630</v>
      </c>
      <c r="I539">
        <v>231400018</v>
      </c>
      <c r="P539" t="s">
        <v>73</v>
      </c>
      <c r="Q539">
        <v>277</v>
      </c>
    </row>
    <row r="540" spans="3:17">
      <c r="C540" t="s">
        <v>525</v>
      </c>
      <c r="D540" t="s">
        <v>619</v>
      </c>
      <c r="E540" t="s">
        <v>629</v>
      </c>
      <c r="G540" t="s">
        <v>630</v>
      </c>
      <c r="I540">
        <v>331400012</v>
      </c>
      <c r="P540" t="s">
        <v>73</v>
      </c>
      <c r="Q540">
        <v>23</v>
      </c>
    </row>
    <row r="541" spans="3:17">
      <c r="C541" t="s">
        <v>525</v>
      </c>
      <c r="D541" t="s">
        <v>619</v>
      </c>
      <c r="E541" t="s">
        <v>631</v>
      </c>
      <c r="G541" t="s">
        <v>632</v>
      </c>
      <c r="I541">
        <v>231400008</v>
      </c>
      <c r="P541" t="s">
        <v>73</v>
      </c>
      <c r="Q541">
        <v>180</v>
      </c>
    </row>
    <row r="542" spans="3:17">
      <c r="C542" t="s">
        <v>525</v>
      </c>
      <c r="D542" t="s">
        <v>619</v>
      </c>
      <c r="E542" t="s">
        <v>631</v>
      </c>
      <c r="G542" t="s">
        <v>632</v>
      </c>
      <c r="I542">
        <v>231400009</v>
      </c>
      <c r="P542" t="s">
        <v>73</v>
      </c>
      <c r="Q542">
        <v>69</v>
      </c>
    </row>
    <row r="543" spans="3:17">
      <c r="C543" t="s">
        <v>525</v>
      </c>
      <c r="D543" t="s">
        <v>619</v>
      </c>
      <c r="E543" t="s">
        <v>631</v>
      </c>
      <c r="G543" t="s">
        <v>632</v>
      </c>
      <c r="I543">
        <v>231400010</v>
      </c>
      <c r="P543" t="s">
        <v>73</v>
      </c>
      <c r="Q543">
        <v>51</v>
      </c>
    </row>
    <row r="544" spans="3:17">
      <c r="C544" t="s">
        <v>525</v>
      </c>
      <c r="D544" t="s">
        <v>619</v>
      </c>
      <c r="E544" t="s">
        <v>633</v>
      </c>
      <c r="G544" t="s">
        <v>634</v>
      </c>
      <c r="I544">
        <v>331400004</v>
      </c>
      <c r="P544" t="s">
        <v>72</v>
      </c>
      <c r="Q544">
        <v>32</v>
      </c>
    </row>
    <row r="545" spans="3:17">
      <c r="C545" t="s">
        <v>525</v>
      </c>
      <c r="D545" t="s">
        <v>619</v>
      </c>
      <c r="E545" t="s">
        <v>633</v>
      </c>
      <c r="G545" t="s">
        <v>634</v>
      </c>
      <c r="I545">
        <v>1670048864400</v>
      </c>
      <c r="P545" t="s">
        <v>72</v>
      </c>
      <c r="Q545">
        <v>50</v>
      </c>
    </row>
    <row r="546" spans="3:17">
      <c r="C546" t="s">
        <v>525</v>
      </c>
      <c r="D546" t="s">
        <v>619</v>
      </c>
      <c r="E546" t="s">
        <v>633</v>
      </c>
      <c r="G546" t="s">
        <v>634</v>
      </c>
      <c r="I546">
        <v>331400010</v>
      </c>
      <c r="P546" t="s">
        <v>72</v>
      </c>
      <c r="Q546">
        <v>70</v>
      </c>
    </row>
    <row r="547" spans="3:17">
      <c r="C547" t="s">
        <v>525</v>
      </c>
      <c r="D547" t="s">
        <v>619</v>
      </c>
      <c r="E547" t="s">
        <v>633</v>
      </c>
      <c r="G547" t="s">
        <v>634</v>
      </c>
      <c r="I547">
        <v>331400014</v>
      </c>
      <c r="P547" t="s">
        <v>72</v>
      </c>
      <c r="Q547">
        <v>100</v>
      </c>
    </row>
    <row r="548" spans="3:17">
      <c r="C548" t="s">
        <v>525</v>
      </c>
      <c r="D548" t="s">
        <v>619</v>
      </c>
      <c r="E548" t="s">
        <v>633</v>
      </c>
      <c r="G548" t="s">
        <v>635</v>
      </c>
      <c r="I548">
        <v>2200000155</v>
      </c>
      <c r="P548" t="s">
        <v>73</v>
      </c>
      <c r="Q548">
        <v>73</v>
      </c>
    </row>
    <row r="549" spans="3:17">
      <c r="C549" t="s">
        <v>525</v>
      </c>
      <c r="D549" t="s">
        <v>619</v>
      </c>
      <c r="E549" t="s">
        <v>633</v>
      </c>
      <c r="G549" t="s">
        <v>636</v>
      </c>
      <c r="I549">
        <v>2200001148</v>
      </c>
      <c r="P549" t="s">
        <v>72</v>
      </c>
      <c r="Q549">
        <v>300</v>
      </c>
    </row>
    <row r="550" spans="3:17">
      <c r="C550" t="s">
        <v>525</v>
      </c>
      <c r="D550" t="s">
        <v>619</v>
      </c>
      <c r="E550" t="s">
        <v>633</v>
      </c>
      <c r="G550" t="s">
        <v>637</v>
      </c>
      <c r="I550">
        <v>2200001158</v>
      </c>
      <c r="P550" t="s">
        <v>72</v>
      </c>
      <c r="Q550">
        <v>1000</v>
      </c>
    </row>
    <row r="551" spans="3:17">
      <c r="C551" t="s">
        <v>525</v>
      </c>
      <c r="D551" t="s">
        <v>619</v>
      </c>
      <c r="E551" t="s">
        <v>638</v>
      </c>
      <c r="G551" t="s">
        <v>639</v>
      </c>
      <c r="I551">
        <v>2200000270</v>
      </c>
      <c r="P551" t="s">
        <v>73</v>
      </c>
      <c r="Q551">
        <v>52.8</v>
      </c>
    </row>
    <row r="552" spans="3:17">
      <c r="C552" t="s">
        <v>525</v>
      </c>
      <c r="D552" t="s">
        <v>619</v>
      </c>
      <c r="E552" t="s">
        <v>638</v>
      </c>
      <c r="G552" t="s">
        <v>394</v>
      </c>
      <c r="I552">
        <v>2200000718</v>
      </c>
      <c r="P552" t="s">
        <v>73</v>
      </c>
      <c r="Q552">
        <v>300</v>
      </c>
    </row>
    <row r="553" spans="3:17">
      <c r="C553" t="s">
        <v>525</v>
      </c>
      <c r="D553" t="s">
        <v>619</v>
      </c>
      <c r="E553" t="s">
        <v>638</v>
      </c>
      <c r="G553" t="s">
        <v>640</v>
      </c>
      <c r="I553">
        <v>2200000440</v>
      </c>
      <c r="P553" t="s">
        <v>183</v>
      </c>
      <c r="Q553" t="s">
        <v>641</v>
      </c>
    </row>
    <row r="554" spans="3:17">
      <c r="C554" t="s">
        <v>525</v>
      </c>
      <c r="D554" t="s">
        <v>619</v>
      </c>
      <c r="E554" t="s">
        <v>638</v>
      </c>
      <c r="G554" t="s">
        <v>642</v>
      </c>
      <c r="I554">
        <v>2200000754</v>
      </c>
      <c r="P554" t="s">
        <v>72</v>
      </c>
      <c r="Q554">
        <v>200</v>
      </c>
    </row>
    <row r="555" spans="3:17">
      <c r="C555" t="s">
        <v>525</v>
      </c>
      <c r="D555" t="s">
        <v>619</v>
      </c>
      <c r="E555" t="s">
        <v>638</v>
      </c>
      <c r="G555" t="s">
        <v>643</v>
      </c>
      <c r="I555">
        <v>2200000795</v>
      </c>
      <c r="P555" t="s">
        <v>183</v>
      </c>
      <c r="Q555" t="s">
        <v>644</v>
      </c>
    </row>
    <row r="556" spans="3:17">
      <c r="C556" t="s">
        <v>525</v>
      </c>
      <c r="D556" t="s">
        <v>619</v>
      </c>
      <c r="E556" t="s">
        <v>638</v>
      </c>
      <c r="G556" t="s">
        <v>178</v>
      </c>
      <c r="I556">
        <v>2200000083</v>
      </c>
      <c r="P556" t="s">
        <v>73</v>
      </c>
      <c r="Q556">
        <v>50</v>
      </c>
    </row>
    <row r="557" spans="3:17">
      <c r="C557" t="s">
        <v>525</v>
      </c>
      <c r="D557" t="s">
        <v>619</v>
      </c>
      <c r="E557" t="s">
        <v>638</v>
      </c>
      <c r="G557" t="s">
        <v>178</v>
      </c>
      <c r="I557">
        <v>2200000132</v>
      </c>
      <c r="P557" t="s">
        <v>183</v>
      </c>
      <c r="Q557" t="s">
        <v>537</v>
      </c>
    </row>
    <row r="558" spans="3:17">
      <c r="C558" t="s">
        <v>525</v>
      </c>
      <c r="D558" t="s">
        <v>619</v>
      </c>
      <c r="E558" t="s">
        <v>638</v>
      </c>
      <c r="G558" t="s">
        <v>645</v>
      </c>
      <c r="I558">
        <v>2200001008</v>
      </c>
      <c r="P558" t="s">
        <v>183</v>
      </c>
      <c r="Q558" t="s">
        <v>646</v>
      </c>
    </row>
    <row r="559" spans="3:17">
      <c r="C559" t="s">
        <v>525</v>
      </c>
      <c r="D559" t="s">
        <v>619</v>
      </c>
      <c r="E559" t="s">
        <v>647</v>
      </c>
      <c r="G559" t="s">
        <v>648</v>
      </c>
      <c r="P559" t="s">
        <v>415</v>
      </c>
      <c r="Q559">
        <v>1150</v>
      </c>
    </row>
    <row r="560" spans="3:17">
      <c r="C560" t="s">
        <v>525</v>
      </c>
      <c r="D560" t="s">
        <v>649</v>
      </c>
      <c r="E560" t="s">
        <v>595</v>
      </c>
      <c r="G560" t="s">
        <v>650</v>
      </c>
      <c r="I560">
        <v>2200001192</v>
      </c>
      <c r="P560" t="s">
        <v>72</v>
      </c>
      <c r="Q560">
        <v>300</v>
      </c>
    </row>
    <row r="561" spans="3:17">
      <c r="C561" t="s">
        <v>525</v>
      </c>
      <c r="D561" t="s">
        <v>649</v>
      </c>
      <c r="E561" t="s">
        <v>595</v>
      </c>
      <c r="G561" t="s">
        <v>598</v>
      </c>
      <c r="I561">
        <v>2200001214</v>
      </c>
      <c r="P561" t="s">
        <v>183</v>
      </c>
      <c r="Q561" t="s">
        <v>651</v>
      </c>
    </row>
    <row r="562" spans="3:17">
      <c r="C562" t="s">
        <v>525</v>
      </c>
      <c r="D562" t="s">
        <v>649</v>
      </c>
      <c r="E562" t="s">
        <v>595</v>
      </c>
      <c r="G562" t="s">
        <v>652</v>
      </c>
      <c r="I562">
        <v>2200001289</v>
      </c>
      <c r="P562" t="s">
        <v>72</v>
      </c>
      <c r="Q562">
        <v>200</v>
      </c>
    </row>
    <row r="563" spans="3:17">
      <c r="C563" t="s">
        <v>525</v>
      </c>
      <c r="D563" t="s">
        <v>649</v>
      </c>
      <c r="E563" t="s">
        <v>595</v>
      </c>
      <c r="G563" t="s">
        <v>181</v>
      </c>
      <c r="I563">
        <v>2200001280</v>
      </c>
      <c r="P563" t="s">
        <v>72</v>
      </c>
      <c r="Q563">
        <v>300</v>
      </c>
    </row>
    <row r="564" spans="3:17">
      <c r="C564" t="s">
        <v>525</v>
      </c>
      <c r="D564" t="s">
        <v>649</v>
      </c>
      <c r="E564" t="s">
        <v>595</v>
      </c>
      <c r="G564" t="s">
        <v>181</v>
      </c>
      <c r="I564">
        <v>2200001279</v>
      </c>
      <c r="P564" t="s">
        <v>72</v>
      </c>
      <c r="Q564">
        <v>300</v>
      </c>
    </row>
    <row r="565" spans="3:17">
      <c r="C565" t="s">
        <v>525</v>
      </c>
      <c r="D565" t="s">
        <v>649</v>
      </c>
      <c r="E565" t="s">
        <v>595</v>
      </c>
      <c r="G565" t="s">
        <v>383</v>
      </c>
      <c r="I565">
        <v>2200001037</v>
      </c>
      <c r="P565" t="s">
        <v>183</v>
      </c>
      <c r="Q565" t="s">
        <v>653</v>
      </c>
    </row>
    <row r="566" spans="3:17">
      <c r="C566" t="s">
        <v>525</v>
      </c>
      <c r="D566" t="s">
        <v>649</v>
      </c>
      <c r="E566" t="s">
        <v>605</v>
      </c>
      <c r="G566" t="s">
        <v>188</v>
      </c>
      <c r="I566">
        <v>2200000991</v>
      </c>
      <c r="P566" t="s">
        <v>72</v>
      </c>
      <c r="Q566">
        <v>200</v>
      </c>
    </row>
    <row r="567" spans="3:17">
      <c r="C567" t="s">
        <v>525</v>
      </c>
      <c r="D567" t="s">
        <v>649</v>
      </c>
      <c r="E567" t="s">
        <v>618</v>
      </c>
      <c r="G567" t="s">
        <v>654</v>
      </c>
      <c r="I567">
        <v>1200003510</v>
      </c>
      <c r="P567" t="s">
        <v>73</v>
      </c>
      <c r="Q567">
        <v>50.4</v>
      </c>
    </row>
    <row r="568" spans="3:17">
      <c r="C568" t="s">
        <v>525</v>
      </c>
      <c r="D568" t="s">
        <v>649</v>
      </c>
      <c r="E568" t="s">
        <v>618</v>
      </c>
      <c r="G568" t="s">
        <v>654</v>
      </c>
      <c r="I568">
        <v>1200003345</v>
      </c>
      <c r="P568" t="s">
        <v>73</v>
      </c>
      <c r="Q568">
        <v>55.44</v>
      </c>
    </row>
    <row r="569" spans="3:17">
      <c r="C569" t="s">
        <v>525</v>
      </c>
      <c r="D569" t="s">
        <v>649</v>
      </c>
      <c r="E569" t="s">
        <v>618</v>
      </c>
      <c r="G569" t="s">
        <v>654</v>
      </c>
      <c r="I569">
        <v>331300005</v>
      </c>
      <c r="P569" t="s">
        <v>73</v>
      </c>
      <c r="Q569">
        <v>50.4</v>
      </c>
    </row>
    <row r="570" spans="3:17">
      <c r="C570" t="s">
        <v>525</v>
      </c>
      <c r="D570" t="s">
        <v>649</v>
      </c>
      <c r="E570" t="s">
        <v>618</v>
      </c>
      <c r="G570" t="s">
        <v>655</v>
      </c>
      <c r="I570">
        <v>231300002</v>
      </c>
      <c r="P570" t="s">
        <v>73</v>
      </c>
      <c r="Q570">
        <v>151.80000000000001</v>
      </c>
    </row>
    <row r="571" spans="3:17">
      <c r="C571" t="s">
        <v>525</v>
      </c>
      <c r="D571" t="s">
        <v>656</v>
      </c>
      <c r="E571" t="s">
        <v>633</v>
      </c>
      <c r="G571" t="s">
        <v>657</v>
      </c>
      <c r="I571">
        <v>2200001878</v>
      </c>
      <c r="P571" t="s">
        <v>72</v>
      </c>
      <c r="Q571">
        <v>13</v>
      </c>
    </row>
    <row r="572" spans="3:17">
      <c r="C572" t="s">
        <v>525</v>
      </c>
      <c r="D572" t="s">
        <v>526</v>
      </c>
      <c r="E572" t="s">
        <v>572</v>
      </c>
      <c r="G572" t="s">
        <v>178</v>
      </c>
      <c r="I572">
        <v>2200000131</v>
      </c>
      <c r="P572" t="s">
        <v>72</v>
      </c>
      <c r="Q572">
        <v>300</v>
      </c>
    </row>
    <row r="573" spans="3:17">
      <c r="C573" t="s">
        <v>525</v>
      </c>
      <c r="D573" t="s">
        <v>526</v>
      </c>
      <c r="E573" t="s">
        <v>572</v>
      </c>
      <c r="G573" t="s">
        <v>178</v>
      </c>
      <c r="I573">
        <v>2200000200</v>
      </c>
      <c r="P573" t="s">
        <v>72</v>
      </c>
      <c r="Q573">
        <v>200</v>
      </c>
    </row>
    <row r="574" spans="3:17">
      <c r="C574" t="s">
        <v>525</v>
      </c>
      <c r="D574" t="s">
        <v>526</v>
      </c>
      <c r="E574" t="s">
        <v>527</v>
      </c>
      <c r="G574" t="s">
        <v>181</v>
      </c>
      <c r="I574">
        <v>2200000218</v>
      </c>
      <c r="P574" t="s">
        <v>73</v>
      </c>
      <c r="Q574">
        <v>155</v>
      </c>
    </row>
    <row r="575" spans="3:17">
      <c r="C575" t="s">
        <v>525</v>
      </c>
      <c r="D575" t="s">
        <v>591</v>
      </c>
      <c r="E575" t="s">
        <v>592</v>
      </c>
      <c r="G575" t="s">
        <v>593</v>
      </c>
      <c r="I575">
        <v>2200000070</v>
      </c>
      <c r="P575" t="s">
        <v>73</v>
      </c>
      <c r="Q575">
        <v>300</v>
      </c>
    </row>
    <row r="576" spans="3:17">
      <c r="C576" t="s">
        <v>525</v>
      </c>
      <c r="D576" t="s">
        <v>526</v>
      </c>
      <c r="E576" t="s">
        <v>658</v>
      </c>
      <c r="G576" t="s">
        <v>659</v>
      </c>
      <c r="I576">
        <v>1200003331</v>
      </c>
      <c r="P576" t="s">
        <v>72</v>
      </c>
      <c r="Q576">
        <v>600</v>
      </c>
    </row>
    <row r="577" spans="3:17">
      <c r="C577" t="s">
        <v>525</v>
      </c>
      <c r="D577" t="s">
        <v>526</v>
      </c>
      <c r="E577" t="s">
        <v>658</v>
      </c>
      <c r="G577" t="s">
        <v>557</v>
      </c>
      <c r="I577">
        <v>1200003371</v>
      </c>
      <c r="P577" t="s">
        <v>72</v>
      </c>
      <c r="Q577">
        <v>600</v>
      </c>
    </row>
    <row r="578" spans="3:17">
      <c r="C578" t="s">
        <v>525</v>
      </c>
      <c r="D578" t="s">
        <v>526</v>
      </c>
      <c r="E578" t="s">
        <v>660</v>
      </c>
      <c r="G578" t="s">
        <v>558</v>
      </c>
      <c r="I578">
        <v>1200003585</v>
      </c>
      <c r="P578" t="s">
        <v>72</v>
      </c>
      <c r="Q578">
        <v>265</v>
      </c>
    </row>
    <row r="579" spans="3:17">
      <c r="C579" t="s">
        <v>525</v>
      </c>
      <c r="D579" t="s">
        <v>526</v>
      </c>
      <c r="E579" t="s">
        <v>660</v>
      </c>
      <c r="G579" t="s">
        <v>559</v>
      </c>
      <c r="I579">
        <v>1200003733</v>
      </c>
      <c r="P579" t="s">
        <v>72</v>
      </c>
      <c r="Q579">
        <v>100</v>
      </c>
    </row>
    <row r="580" spans="3:17">
      <c r="C580" t="s">
        <v>525</v>
      </c>
      <c r="D580" t="s">
        <v>526</v>
      </c>
      <c r="E580" t="s">
        <v>660</v>
      </c>
      <c r="G580" t="s">
        <v>560</v>
      </c>
      <c r="I580">
        <v>1200003953</v>
      </c>
      <c r="P580" t="s">
        <v>72</v>
      </c>
      <c r="Q580">
        <v>890</v>
      </c>
    </row>
    <row r="581" spans="3:17">
      <c r="C581" t="s">
        <v>525</v>
      </c>
      <c r="D581" t="s">
        <v>656</v>
      </c>
      <c r="E581" t="s">
        <v>631</v>
      </c>
      <c r="G581" t="s">
        <v>632</v>
      </c>
      <c r="I581">
        <v>231400008</v>
      </c>
      <c r="P581" t="s">
        <v>73</v>
      </c>
      <c r="Q581">
        <v>180</v>
      </c>
    </row>
    <row r="582" spans="3:17">
      <c r="C582" t="s">
        <v>525</v>
      </c>
      <c r="D582" t="s">
        <v>656</v>
      </c>
      <c r="E582" t="s">
        <v>631</v>
      </c>
      <c r="G582" t="s">
        <v>632</v>
      </c>
      <c r="I582">
        <v>231400009</v>
      </c>
      <c r="P582" t="s">
        <v>73</v>
      </c>
      <c r="Q582">
        <v>69</v>
      </c>
    </row>
    <row r="583" spans="3:17">
      <c r="C583" t="s">
        <v>525</v>
      </c>
      <c r="D583" t="s">
        <v>656</v>
      </c>
      <c r="E583" t="s">
        <v>631</v>
      </c>
      <c r="G583" t="s">
        <v>632</v>
      </c>
      <c r="I583">
        <v>231400010</v>
      </c>
      <c r="P583" t="s">
        <v>73</v>
      </c>
      <c r="Q583">
        <v>51</v>
      </c>
    </row>
    <row r="584" spans="3:17">
      <c r="C584" t="s">
        <v>417</v>
      </c>
      <c r="D584" t="s">
        <v>661</v>
      </c>
      <c r="E584" t="s">
        <v>516</v>
      </c>
      <c r="G584" t="s">
        <v>394</v>
      </c>
      <c r="I584">
        <v>2200000818</v>
      </c>
      <c r="P584" t="s">
        <v>662</v>
      </c>
      <c r="Q584">
        <v>175</v>
      </c>
    </row>
    <row r="585" spans="3:17">
      <c r="C585" t="s">
        <v>525</v>
      </c>
      <c r="D585" t="s">
        <v>526</v>
      </c>
      <c r="E585" t="s">
        <v>527</v>
      </c>
      <c r="G585" t="s">
        <v>663</v>
      </c>
      <c r="I585">
        <v>2200000239</v>
      </c>
      <c r="P585" t="s">
        <v>662</v>
      </c>
      <c r="Q585">
        <v>129.9</v>
      </c>
    </row>
    <row r="586" spans="3:17">
      <c r="C586" t="s">
        <v>525</v>
      </c>
      <c r="D586" t="s">
        <v>526</v>
      </c>
      <c r="E586" t="s">
        <v>546</v>
      </c>
      <c r="G586" t="s">
        <v>547</v>
      </c>
      <c r="I586">
        <v>230700008</v>
      </c>
      <c r="P586" t="s">
        <v>662</v>
      </c>
      <c r="Q586">
        <v>1250</v>
      </c>
    </row>
    <row r="587" spans="3:17">
      <c r="C587" t="s">
        <v>525</v>
      </c>
      <c r="D587" t="s">
        <v>526</v>
      </c>
      <c r="E587" t="s">
        <v>549</v>
      </c>
      <c r="G587" t="s">
        <v>550</v>
      </c>
      <c r="I587">
        <v>230700006</v>
      </c>
      <c r="P587" t="s">
        <v>662</v>
      </c>
      <c r="Q587">
        <v>1200</v>
      </c>
    </row>
    <row r="588" spans="3:17">
      <c r="C588" t="s">
        <v>525</v>
      </c>
      <c r="D588" t="s">
        <v>526</v>
      </c>
      <c r="E588" t="s">
        <v>549</v>
      </c>
      <c r="G588" t="s">
        <v>551</v>
      </c>
      <c r="I588">
        <v>230700007</v>
      </c>
      <c r="P588" t="s">
        <v>662</v>
      </c>
      <c r="Q588">
        <v>1166.4000000000001</v>
      </c>
    </row>
    <row r="589" spans="3:17">
      <c r="C589" t="s">
        <v>525</v>
      </c>
      <c r="D589" t="s">
        <v>526</v>
      </c>
      <c r="E589" t="s">
        <v>658</v>
      </c>
      <c r="G589" t="s">
        <v>664</v>
      </c>
      <c r="I589">
        <v>230700005</v>
      </c>
      <c r="P589" t="s">
        <v>72</v>
      </c>
      <c r="Q589">
        <v>1000</v>
      </c>
    </row>
    <row r="590" spans="3:17">
      <c r="C590" t="s">
        <v>525</v>
      </c>
      <c r="D590" t="s">
        <v>526</v>
      </c>
      <c r="E590" t="s">
        <v>567</v>
      </c>
      <c r="G590" t="s">
        <v>568</v>
      </c>
      <c r="I590">
        <v>230700009</v>
      </c>
      <c r="P590" t="s">
        <v>662</v>
      </c>
      <c r="Q590">
        <v>1250</v>
      </c>
    </row>
    <row r="591" spans="3:17">
      <c r="C591" t="s">
        <v>525</v>
      </c>
      <c r="D591" t="s">
        <v>526</v>
      </c>
      <c r="E591" t="s">
        <v>572</v>
      </c>
      <c r="G591" t="s">
        <v>573</v>
      </c>
      <c r="I591">
        <v>2200000011</v>
      </c>
      <c r="P591" t="s">
        <v>72</v>
      </c>
      <c r="Q591">
        <v>50</v>
      </c>
    </row>
    <row r="592" spans="3:17">
      <c r="C592" t="s">
        <v>525</v>
      </c>
      <c r="D592" t="s">
        <v>656</v>
      </c>
      <c r="E592" t="s">
        <v>633</v>
      </c>
      <c r="G592" t="s">
        <v>665</v>
      </c>
      <c r="I592">
        <v>2200000155</v>
      </c>
      <c r="P592" t="s">
        <v>73</v>
      </c>
      <c r="Q592">
        <v>73</v>
      </c>
    </row>
    <row r="593" spans="3:17">
      <c r="C593" t="s">
        <v>525</v>
      </c>
      <c r="D593" t="s">
        <v>656</v>
      </c>
      <c r="E593" t="s">
        <v>621</v>
      </c>
      <c r="G593" t="s">
        <v>624</v>
      </c>
      <c r="I593">
        <v>231400004</v>
      </c>
      <c r="P593" t="s">
        <v>73</v>
      </c>
      <c r="Q593">
        <v>10</v>
      </c>
    </row>
    <row r="594" spans="3:17">
      <c r="C594" t="s">
        <v>525</v>
      </c>
      <c r="D594" t="s">
        <v>656</v>
      </c>
      <c r="E594" t="s">
        <v>621</v>
      </c>
      <c r="G594" t="s">
        <v>624</v>
      </c>
      <c r="I594">
        <v>331400007</v>
      </c>
      <c r="P594" t="s">
        <v>73</v>
      </c>
      <c r="Q594">
        <v>140</v>
      </c>
    </row>
    <row r="595" spans="3:17">
      <c r="C595" t="s">
        <v>525</v>
      </c>
      <c r="D595" t="s">
        <v>656</v>
      </c>
      <c r="E595" t="s">
        <v>621</v>
      </c>
      <c r="G595" t="s">
        <v>625</v>
      </c>
      <c r="I595">
        <v>1200003942</v>
      </c>
      <c r="P595" t="s">
        <v>73</v>
      </c>
      <c r="Q595">
        <v>33</v>
      </c>
    </row>
    <row r="596" spans="3:17">
      <c r="C596" t="s">
        <v>525</v>
      </c>
      <c r="D596" t="s">
        <v>656</v>
      </c>
      <c r="E596" t="s">
        <v>621</v>
      </c>
      <c r="G596" t="s">
        <v>626</v>
      </c>
      <c r="I596">
        <v>1200003901</v>
      </c>
      <c r="P596" t="s">
        <v>73</v>
      </c>
      <c r="Q596">
        <v>200</v>
      </c>
    </row>
    <row r="597" spans="3:17">
      <c r="C597" t="s">
        <v>525</v>
      </c>
      <c r="D597" t="s">
        <v>656</v>
      </c>
      <c r="E597" t="s">
        <v>621</v>
      </c>
      <c r="G597" t="s">
        <v>626</v>
      </c>
      <c r="I597">
        <v>1200003944</v>
      </c>
      <c r="P597" t="s">
        <v>73</v>
      </c>
      <c r="Q597">
        <v>99</v>
      </c>
    </row>
    <row r="598" spans="3:17">
      <c r="C598" t="s">
        <v>525</v>
      </c>
      <c r="D598" t="s">
        <v>656</v>
      </c>
      <c r="E598" t="s">
        <v>621</v>
      </c>
      <c r="G598" t="s">
        <v>626</v>
      </c>
      <c r="I598">
        <v>331400002</v>
      </c>
      <c r="P598" t="s">
        <v>73</v>
      </c>
      <c r="Q598">
        <v>21.6</v>
      </c>
    </row>
    <row r="599" spans="3:17">
      <c r="C599" t="s">
        <v>525</v>
      </c>
      <c r="D599" t="s">
        <v>656</v>
      </c>
      <c r="E599" t="s">
        <v>621</v>
      </c>
      <c r="G599" t="s">
        <v>627</v>
      </c>
      <c r="I599">
        <v>1670224223993</v>
      </c>
      <c r="P599" t="s">
        <v>73</v>
      </c>
      <c r="Q599">
        <v>66</v>
      </c>
    </row>
    <row r="600" spans="3:17">
      <c r="C600" t="s">
        <v>525</v>
      </c>
      <c r="D600" t="s">
        <v>656</v>
      </c>
      <c r="E600" t="s">
        <v>621</v>
      </c>
      <c r="G600" t="s">
        <v>627</v>
      </c>
      <c r="I600">
        <v>331400013</v>
      </c>
      <c r="P600" t="s">
        <v>73</v>
      </c>
      <c r="Q600">
        <v>92</v>
      </c>
    </row>
    <row r="601" spans="3:17">
      <c r="C601" t="s">
        <v>525</v>
      </c>
      <c r="D601" t="s">
        <v>656</v>
      </c>
      <c r="E601" t="s">
        <v>621</v>
      </c>
      <c r="G601" t="s">
        <v>622</v>
      </c>
      <c r="I601">
        <v>2200000035</v>
      </c>
      <c r="P601" t="s">
        <v>73</v>
      </c>
      <c r="Q601">
        <v>29.7</v>
      </c>
    </row>
    <row r="602" spans="3:17">
      <c r="C602" t="s">
        <v>525</v>
      </c>
      <c r="D602" t="s">
        <v>656</v>
      </c>
      <c r="E602" t="s">
        <v>621</v>
      </c>
      <c r="G602" t="s">
        <v>387</v>
      </c>
      <c r="I602">
        <v>2200000193</v>
      </c>
      <c r="P602" t="s">
        <v>73</v>
      </c>
      <c r="Q602">
        <v>101</v>
      </c>
    </row>
    <row r="603" spans="3:17">
      <c r="C603" t="s">
        <v>525</v>
      </c>
      <c r="D603" t="s">
        <v>656</v>
      </c>
      <c r="E603" t="s">
        <v>621</v>
      </c>
      <c r="G603" t="s">
        <v>623</v>
      </c>
      <c r="I603">
        <v>2200000198</v>
      </c>
      <c r="P603" t="s">
        <v>73</v>
      </c>
      <c r="Q603">
        <v>250</v>
      </c>
    </row>
    <row r="604" spans="3:17">
      <c r="C604" t="s">
        <v>525</v>
      </c>
      <c r="D604" t="s">
        <v>656</v>
      </c>
      <c r="E604" t="s">
        <v>621</v>
      </c>
      <c r="G604" t="s">
        <v>218</v>
      </c>
      <c r="I604">
        <v>2200000277</v>
      </c>
      <c r="P604" t="s">
        <v>73</v>
      </c>
      <c r="Q604">
        <v>200</v>
      </c>
    </row>
    <row r="605" spans="3:17">
      <c r="C605" t="s">
        <v>525</v>
      </c>
      <c r="D605" t="s">
        <v>656</v>
      </c>
      <c r="E605" t="s">
        <v>621</v>
      </c>
      <c r="G605" t="s">
        <v>218</v>
      </c>
      <c r="I605">
        <v>2200000302</v>
      </c>
      <c r="P605" t="s">
        <v>73</v>
      </c>
      <c r="Q605">
        <v>100</v>
      </c>
    </row>
    <row r="606" spans="3:17">
      <c r="C606" t="s">
        <v>525</v>
      </c>
      <c r="D606" t="s">
        <v>656</v>
      </c>
      <c r="E606" t="s">
        <v>621</v>
      </c>
      <c r="G606" t="s">
        <v>218</v>
      </c>
      <c r="I606">
        <v>2200001090</v>
      </c>
      <c r="P606" t="s">
        <v>73</v>
      </c>
      <c r="Q606">
        <v>150</v>
      </c>
    </row>
    <row r="607" spans="3:17">
      <c r="C607" t="s">
        <v>525</v>
      </c>
      <c r="D607" t="s">
        <v>656</v>
      </c>
      <c r="E607" t="s">
        <v>621</v>
      </c>
      <c r="G607" t="s">
        <v>387</v>
      </c>
      <c r="I607">
        <v>2200001244</v>
      </c>
      <c r="P607" t="s">
        <v>73</v>
      </c>
      <c r="Q607">
        <v>111.8</v>
      </c>
    </row>
    <row r="608" spans="3:17">
      <c r="C608" t="s">
        <v>525</v>
      </c>
      <c r="D608" t="s">
        <v>526</v>
      </c>
      <c r="E608" t="s">
        <v>527</v>
      </c>
      <c r="G608" t="s">
        <v>528</v>
      </c>
      <c r="I608">
        <v>2200000317</v>
      </c>
      <c r="P608" t="s">
        <v>73</v>
      </c>
      <c r="Q608">
        <v>50</v>
      </c>
    </row>
    <row r="609" spans="3:17">
      <c r="C609" t="s">
        <v>525</v>
      </c>
      <c r="D609" t="s">
        <v>526</v>
      </c>
      <c r="E609" t="s">
        <v>527</v>
      </c>
      <c r="G609" t="s">
        <v>529</v>
      </c>
      <c r="I609">
        <v>2200000386</v>
      </c>
      <c r="P609" t="s">
        <v>72</v>
      </c>
      <c r="Q609">
        <v>200</v>
      </c>
    </row>
    <row r="610" spans="3:17">
      <c r="C610" t="s">
        <v>525</v>
      </c>
      <c r="D610" t="s">
        <v>591</v>
      </c>
      <c r="E610" t="s">
        <v>618</v>
      </c>
      <c r="G610" t="s">
        <v>655</v>
      </c>
      <c r="I610">
        <v>231300002</v>
      </c>
      <c r="P610" t="s">
        <v>73</v>
      </c>
      <c r="Q610">
        <v>151.80000000000001</v>
      </c>
    </row>
    <row r="611" spans="3:17">
      <c r="C611" t="s">
        <v>525</v>
      </c>
      <c r="D611" t="s">
        <v>591</v>
      </c>
      <c r="E611" t="s">
        <v>618</v>
      </c>
      <c r="G611" t="s">
        <v>666</v>
      </c>
      <c r="I611">
        <v>231300004</v>
      </c>
      <c r="P611" t="s">
        <v>73</v>
      </c>
      <c r="Q611">
        <v>75</v>
      </c>
    </row>
    <row r="612" spans="3:17">
      <c r="C612" t="s">
        <v>417</v>
      </c>
      <c r="D612" t="s">
        <v>667</v>
      </c>
      <c r="E612" t="s">
        <v>668</v>
      </c>
      <c r="G612" t="s">
        <v>214</v>
      </c>
      <c r="I612">
        <v>2200000162</v>
      </c>
      <c r="P612" t="s">
        <v>73</v>
      </c>
      <c r="Q612">
        <v>295</v>
      </c>
    </row>
    <row r="613" spans="3:17">
      <c r="C613" t="s">
        <v>417</v>
      </c>
      <c r="D613" t="s">
        <v>667</v>
      </c>
      <c r="E613" t="s">
        <v>668</v>
      </c>
      <c r="G613" t="s">
        <v>427</v>
      </c>
      <c r="I613">
        <v>2200000318</v>
      </c>
      <c r="P613" t="s">
        <v>73</v>
      </c>
      <c r="Q613">
        <v>50</v>
      </c>
    </row>
    <row r="614" spans="3:17">
      <c r="C614" t="s">
        <v>68</v>
      </c>
      <c r="D614" t="s">
        <v>69</v>
      </c>
      <c r="E614" t="s">
        <v>191</v>
      </c>
      <c r="G614" t="s">
        <v>195</v>
      </c>
      <c r="I614" t="s">
        <v>196</v>
      </c>
      <c r="J614">
        <v>1200003110</v>
      </c>
      <c r="P614" t="s">
        <v>72</v>
      </c>
      <c r="Q614">
        <v>211.65</v>
      </c>
    </row>
    <row r="615" spans="3:17">
      <c r="C615" t="s">
        <v>68</v>
      </c>
      <c r="D615" t="s">
        <v>69</v>
      </c>
      <c r="E615" t="s">
        <v>191</v>
      </c>
      <c r="G615" t="s">
        <v>195</v>
      </c>
      <c r="I615" t="s">
        <v>197</v>
      </c>
      <c r="J615">
        <v>1200003109</v>
      </c>
      <c r="P615" t="s">
        <v>72</v>
      </c>
      <c r="Q615">
        <v>211.65</v>
      </c>
    </row>
    <row r="616" spans="3:17">
      <c r="C616" t="s">
        <v>68</v>
      </c>
      <c r="D616" t="s">
        <v>69</v>
      </c>
      <c r="E616" t="s">
        <v>191</v>
      </c>
      <c r="G616" t="s">
        <v>195</v>
      </c>
      <c r="I616" t="s">
        <v>198</v>
      </c>
      <c r="J616">
        <v>1200003120</v>
      </c>
      <c r="P616" t="s">
        <v>72</v>
      </c>
      <c r="Q616">
        <v>88.35</v>
      </c>
    </row>
    <row r="617" spans="3:17">
      <c r="C617" t="s">
        <v>68</v>
      </c>
      <c r="D617" t="s">
        <v>69</v>
      </c>
      <c r="E617" t="s">
        <v>191</v>
      </c>
      <c r="G617" t="s">
        <v>201</v>
      </c>
      <c r="I617" t="s">
        <v>202</v>
      </c>
      <c r="J617">
        <v>1200003357</v>
      </c>
      <c r="P617" t="s">
        <v>72</v>
      </c>
      <c r="Q617">
        <v>300</v>
      </c>
    </row>
    <row r="618" spans="3:17">
      <c r="C618" t="s">
        <v>68</v>
      </c>
      <c r="D618" t="s">
        <v>69</v>
      </c>
      <c r="E618" t="s">
        <v>191</v>
      </c>
      <c r="G618" t="s">
        <v>203</v>
      </c>
      <c r="I618" t="s">
        <v>204</v>
      </c>
      <c r="J618">
        <v>1200003505</v>
      </c>
      <c r="P618" t="s">
        <v>72</v>
      </c>
      <c r="Q618">
        <v>300</v>
      </c>
    </row>
    <row r="619" spans="3:17">
      <c r="C619" t="s">
        <v>68</v>
      </c>
      <c r="D619" t="s">
        <v>69</v>
      </c>
      <c r="E619" t="s">
        <v>191</v>
      </c>
      <c r="G619" t="s">
        <v>205</v>
      </c>
      <c r="I619" t="s">
        <v>206</v>
      </c>
      <c r="J619">
        <v>1200003586</v>
      </c>
      <c r="P619" t="s">
        <v>72</v>
      </c>
      <c r="Q619">
        <v>267</v>
      </c>
    </row>
    <row r="620" spans="3:17">
      <c r="C620" t="s">
        <v>68</v>
      </c>
      <c r="D620" t="s">
        <v>69</v>
      </c>
      <c r="E620" t="s">
        <v>191</v>
      </c>
      <c r="G620" t="s">
        <v>205</v>
      </c>
      <c r="I620" t="s">
        <v>669</v>
      </c>
      <c r="P620" t="s">
        <v>72</v>
      </c>
      <c r="Q620">
        <v>333</v>
      </c>
    </row>
    <row r="621" spans="3:17">
      <c r="C621" t="s">
        <v>68</v>
      </c>
      <c r="D621" t="s">
        <v>69</v>
      </c>
      <c r="E621" t="s">
        <v>191</v>
      </c>
      <c r="G621" t="s">
        <v>389</v>
      </c>
      <c r="I621" t="s">
        <v>670</v>
      </c>
      <c r="J621">
        <v>1200003685</v>
      </c>
      <c r="P621" t="s">
        <v>72</v>
      </c>
      <c r="Q621">
        <v>500</v>
      </c>
    </row>
    <row r="622" spans="3:17">
      <c r="C622" t="s">
        <v>68</v>
      </c>
      <c r="D622" t="s">
        <v>69</v>
      </c>
      <c r="E622" t="s">
        <v>191</v>
      </c>
      <c r="G622" t="s">
        <v>205</v>
      </c>
      <c r="I622" t="s">
        <v>207</v>
      </c>
      <c r="J622">
        <v>1200003843</v>
      </c>
      <c r="P622" t="s">
        <v>72</v>
      </c>
      <c r="Q622">
        <v>50</v>
      </c>
    </row>
    <row r="623" spans="3:17">
      <c r="C623" t="s">
        <v>68</v>
      </c>
      <c r="D623" t="s">
        <v>69</v>
      </c>
      <c r="E623" t="s">
        <v>191</v>
      </c>
      <c r="G623" t="s">
        <v>208</v>
      </c>
      <c r="I623" t="s">
        <v>209</v>
      </c>
      <c r="J623">
        <v>1200003882</v>
      </c>
      <c r="P623" t="s">
        <v>72</v>
      </c>
      <c r="Q623">
        <v>100</v>
      </c>
    </row>
    <row r="624" spans="3:17">
      <c r="C624" t="s">
        <v>68</v>
      </c>
      <c r="D624" t="s">
        <v>69</v>
      </c>
      <c r="E624" t="s">
        <v>241</v>
      </c>
      <c r="G624" t="s">
        <v>671</v>
      </c>
      <c r="I624" t="s">
        <v>672</v>
      </c>
      <c r="J624">
        <v>1200003583</v>
      </c>
      <c r="P624" t="s">
        <v>72</v>
      </c>
      <c r="Q624">
        <v>110</v>
      </c>
    </row>
    <row r="625" spans="3:17">
      <c r="C625" t="s">
        <v>68</v>
      </c>
      <c r="D625" t="s">
        <v>69</v>
      </c>
      <c r="E625" t="s">
        <v>241</v>
      </c>
      <c r="G625" t="s">
        <v>673</v>
      </c>
      <c r="I625" t="s">
        <v>674</v>
      </c>
      <c r="J625">
        <v>1200003933</v>
      </c>
      <c r="P625" t="s">
        <v>72</v>
      </c>
      <c r="Q625">
        <v>300</v>
      </c>
    </row>
    <row r="626" spans="3:17">
      <c r="C626" t="s">
        <v>68</v>
      </c>
      <c r="D626" t="s">
        <v>69</v>
      </c>
      <c r="E626" t="s">
        <v>241</v>
      </c>
      <c r="G626" t="s">
        <v>244</v>
      </c>
      <c r="I626">
        <v>1200003115</v>
      </c>
      <c r="P626" t="s">
        <v>72</v>
      </c>
      <c r="Q626">
        <v>70</v>
      </c>
    </row>
    <row r="627" spans="3:17">
      <c r="C627" t="s">
        <v>68</v>
      </c>
      <c r="D627" t="s">
        <v>69</v>
      </c>
      <c r="E627" t="s">
        <v>241</v>
      </c>
      <c r="G627" t="s">
        <v>245</v>
      </c>
      <c r="I627">
        <v>1200003301</v>
      </c>
      <c r="P627" t="s">
        <v>72</v>
      </c>
      <c r="Q627">
        <v>300</v>
      </c>
    </row>
    <row r="628" spans="3:17">
      <c r="C628" t="s">
        <v>68</v>
      </c>
      <c r="D628" t="s">
        <v>69</v>
      </c>
      <c r="E628" t="s">
        <v>675</v>
      </c>
      <c r="G628" t="s">
        <v>203</v>
      </c>
      <c r="I628" t="s">
        <v>247</v>
      </c>
      <c r="J628">
        <v>1200003829</v>
      </c>
      <c r="P628" t="s">
        <v>72</v>
      </c>
      <c r="Q628">
        <v>300</v>
      </c>
    </row>
    <row r="629" spans="3:17">
      <c r="C629" t="s">
        <v>68</v>
      </c>
      <c r="D629" t="s">
        <v>69</v>
      </c>
      <c r="E629" t="s">
        <v>675</v>
      </c>
      <c r="G629" t="s">
        <v>248</v>
      </c>
      <c r="I629" t="s">
        <v>676</v>
      </c>
      <c r="J629">
        <v>1200003937</v>
      </c>
      <c r="P629" t="s">
        <v>72</v>
      </c>
      <c r="Q629">
        <v>1000</v>
      </c>
    </row>
    <row r="630" spans="3:17">
      <c r="C630" t="s">
        <v>68</v>
      </c>
      <c r="D630" t="s">
        <v>69</v>
      </c>
      <c r="E630" t="s">
        <v>675</v>
      </c>
      <c r="G630" t="s">
        <v>250</v>
      </c>
      <c r="I630" t="s">
        <v>251</v>
      </c>
      <c r="J630">
        <v>412100004</v>
      </c>
      <c r="P630" t="s">
        <v>72</v>
      </c>
      <c r="Q630">
        <v>62</v>
      </c>
    </row>
    <row r="631" spans="3:17">
      <c r="C631" t="s">
        <v>68</v>
      </c>
      <c r="D631" t="s">
        <v>69</v>
      </c>
      <c r="E631" t="s">
        <v>675</v>
      </c>
      <c r="G631" t="s">
        <v>252</v>
      </c>
      <c r="I631" t="s">
        <v>253</v>
      </c>
      <c r="J631">
        <v>412100006</v>
      </c>
      <c r="P631" t="s">
        <v>72</v>
      </c>
      <c r="Q631">
        <v>300</v>
      </c>
    </row>
    <row r="632" spans="3:17">
      <c r="C632" t="s">
        <v>68</v>
      </c>
      <c r="D632" t="s">
        <v>69</v>
      </c>
      <c r="E632" t="s">
        <v>675</v>
      </c>
      <c r="G632" t="s">
        <v>254</v>
      </c>
      <c r="I632" t="s">
        <v>255</v>
      </c>
      <c r="J632">
        <v>412100008</v>
      </c>
      <c r="P632" t="s">
        <v>72</v>
      </c>
      <c r="Q632">
        <v>100</v>
      </c>
    </row>
    <row r="633" spans="3:17">
      <c r="C633" t="s">
        <v>68</v>
      </c>
      <c r="D633" t="s">
        <v>69</v>
      </c>
      <c r="E633" t="s">
        <v>675</v>
      </c>
      <c r="G633" t="s">
        <v>256</v>
      </c>
      <c r="I633" t="s">
        <v>677</v>
      </c>
      <c r="P633" t="s">
        <v>72</v>
      </c>
      <c r="Q633">
        <v>62</v>
      </c>
    </row>
    <row r="634" spans="3:17">
      <c r="C634" t="s">
        <v>68</v>
      </c>
      <c r="D634" t="s">
        <v>69</v>
      </c>
      <c r="E634" t="s">
        <v>675</v>
      </c>
      <c r="G634" t="s">
        <v>258</v>
      </c>
      <c r="I634" t="s">
        <v>259</v>
      </c>
      <c r="J634">
        <v>1200003935</v>
      </c>
      <c r="P634" t="s">
        <v>72</v>
      </c>
      <c r="Q634">
        <v>200</v>
      </c>
    </row>
    <row r="635" spans="3:17">
      <c r="C635" t="s">
        <v>68</v>
      </c>
      <c r="D635" t="s">
        <v>69</v>
      </c>
      <c r="E635" t="s">
        <v>675</v>
      </c>
      <c r="G635" t="s">
        <v>260</v>
      </c>
      <c r="I635" t="s">
        <v>678</v>
      </c>
      <c r="P635" t="s">
        <v>72</v>
      </c>
      <c r="Q635">
        <v>62</v>
      </c>
    </row>
    <row r="636" spans="3:17">
      <c r="C636" t="s">
        <v>68</v>
      </c>
      <c r="D636" t="s">
        <v>69</v>
      </c>
      <c r="E636" t="s">
        <v>675</v>
      </c>
      <c r="G636" t="s">
        <v>262</v>
      </c>
      <c r="I636">
        <v>412100025</v>
      </c>
      <c r="P636" t="s">
        <v>72</v>
      </c>
      <c r="Q636">
        <v>226</v>
      </c>
    </row>
    <row r="637" spans="3:17">
      <c r="C637" t="s">
        <v>68</v>
      </c>
      <c r="D637" t="s">
        <v>69</v>
      </c>
      <c r="E637" t="s">
        <v>675</v>
      </c>
      <c r="G637" t="s">
        <v>263</v>
      </c>
      <c r="I637">
        <v>1200003233</v>
      </c>
      <c r="P637" t="s">
        <v>72</v>
      </c>
      <c r="Q637">
        <v>290</v>
      </c>
    </row>
    <row r="638" spans="3:17">
      <c r="C638" t="s">
        <v>68</v>
      </c>
      <c r="D638" t="s">
        <v>69</v>
      </c>
      <c r="E638" t="s">
        <v>675</v>
      </c>
      <c r="G638" t="s">
        <v>263</v>
      </c>
      <c r="I638">
        <v>1200003389</v>
      </c>
      <c r="P638" t="s">
        <v>72</v>
      </c>
      <c r="Q638">
        <v>45</v>
      </c>
    </row>
    <row r="639" spans="3:17">
      <c r="C639" t="s">
        <v>68</v>
      </c>
      <c r="D639" t="s">
        <v>69</v>
      </c>
      <c r="E639" t="s">
        <v>675</v>
      </c>
      <c r="G639" t="s">
        <v>679</v>
      </c>
      <c r="I639" t="s">
        <v>680</v>
      </c>
      <c r="P639" t="s">
        <v>72</v>
      </c>
      <c r="Q639">
        <v>180</v>
      </c>
    </row>
    <row r="640" spans="3:17">
      <c r="C640" t="s">
        <v>68</v>
      </c>
      <c r="D640" t="s">
        <v>69</v>
      </c>
      <c r="E640" t="s">
        <v>306</v>
      </c>
      <c r="G640" t="s">
        <v>195</v>
      </c>
      <c r="I640" t="s">
        <v>308</v>
      </c>
      <c r="J640">
        <v>1200003124</v>
      </c>
      <c r="P640" t="s">
        <v>72</v>
      </c>
      <c r="Q640">
        <v>44.17</v>
      </c>
    </row>
    <row r="641" spans="3:17">
      <c r="C641" t="s">
        <v>68</v>
      </c>
      <c r="D641" t="s">
        <v>69</v>
      </c>
      <c r="E641" t="s">
        <v>306</v>
      </c>
      <c r="G641" t="s">
        <v>195</v>
      </c>
      <c r="I641" t="s">
        <v>309</v>
      </c>
      <c r="J641">
        <v>1200003248</v>
      </c>
      <c r="P641" t="s">
        <v>72</v>
      </c>
      <c r="Q641">
        <v>63.5</v>
      </c>
    </row>
    <row r="642" spans="3:17">
      <c r="C642" t="s">
        <v>68</v>
      </c>
      <c r="D642" t="s">
        <v>69</v>
      </c>
      <c r="E642" t="s">
        <v>306</v>
      </c>
      <c r="G642" t="s">
        <v>195</v>
      </c>
      <c r="I642" t="s">
        <v>310</v>
      </c>
      <c r="J642">
        <v>1200003314</v>
      </c>
      <c r="P642" t="s">
        <v>72</v>
      </c>
      <c r="Q642">
        <v>26.5</v>
      </c>
    </row>
    <row r="643" spans="3:17">
      <c r="C643" t="s">
        <v>68</v>
      </c>
      <c r="D643" t="s">
        <v>69</v>
      </c>
      <c r="E643" t="s">
        <v>306</v>
      </c>
      <c r="G643" t="s">
        <v>311</v>
      </c>
      <c r="I643" t="s">
        <v>312</v>
      </c>
      <c r="J643">
        <v>1200003684</v>
      </c>
      <c r="P643" t="s">
        <v>72</v>
      </c>
      <c r="Q643">
        <v>500</v>
      </c>
    </row>
    <row r="644" spans="3:17">
      <c r="C644" t="s">
        <v>68</v>
      </c>
      <c r="D644" t="s">
        <v>69</v>
      </c>
      <c r="E644" t="s">
        <v>306</v>
      </c>
      <c r="G644" t="s">
        <v>313</v>
      </c>
      <c r="I644" t="s">
        <v>314</v>
      </c>
      <c r="J644">
        <v>1200003947</v>
      </c>
      <c r="P644" t="s">
        <v>72</v>
      </c>
      <c r="Q644">
        <v>300</v>
      </c>
    </row>
    <row r="645" spans="3:17">
      <c r="C645" t="s">
        <v>68</v>
      </c>
      <c r="D645" t="s">
        <v>69</v>
      </c>
      <c r="E645" t="s">
        <v>681</v>
      </c>
      <c r="G645" t="s">
        <v>333</v>
      </c>
      <c r="I645" t="s">
        <v>334</v>
      </c>
      <c r="J645">
        <v>1200003269</v>
      </c>
      <c r="P645" t="s">
        <v>72</v>
      </c>
      <c r="Q645">
        <v>400</v>
      </c>
    </row>
    <row r="646" spans="3:17">
      <c r="C646" t="s">
        <v>417</v>
      </c>
      <c r="D646" t="s">
        <v>682</v>
      </c>
      <c r="E646" t="s">
        <v>683</v>
      </c>
      <c r="G646" t="s">
        <v>508</v>
      </c>
      <c r="I646" t="s">
        <v>684</v>
      </c>
      <c r="P646" t="s">
        <v>73</v>
      </c>
      <c r="Q646">
        <v>170</v>
      </c>
    </row>
    <row r="647" spans="3:17">
      <c r="C647" t="s">
        <v>417</v>
      </c>
      <c r="D647" t="s">
        <v>682</v>
      </c>
      <c r="E647" t="s">
        <v>683</v>
      </c>
      <c r="G647" t="s">
        <v>685</v>
      </c>
      <c r="I647" t="s">
        <v>511</v>
      </c>
      <c r="P647" t="s">
        <v>73</v>
      </c>
      <c r="Q647">
        <v>178.5</v>
      </c>
    </row>
    <row r="648" spans="3:17">
      <c r="C648" t="s">
        <v>417</v>
      </c>
      <c r="D648" t="s">
        <v>682</v>
      </c>
      <c r="E648" t="s">
        <v>683</v>
      </c>
      <c r="G648" t="s">
        <v>512</v>
      </c>
      <c r="I648" t="s">
        <v>513</v>
      </c>
      <c r="P648" t="s">
        <v>73</v>
      </c>
      <c r="Q648">
        <v>300</v>
      </c>
    </row>
    <row r="649" spans="3:17">
      <c r="C649" t="s">
        <v>417</v>
      </c>
      <c r="D649" t="s">
        <v>682</v>
      </c>
      <c r="E649" t="s">
        <v>683</v>
      </c>
      <c r="G649" t="s">
        <v>514</v>
      </c>
      <c r="I649">
        <v>451100011</v>
      </c>
      <c r="P649" t="s">
        <v>662</v>
      </c>
      <c r="Q649">
        <v>132</v>
      </c>
    </row>
    <row r="650" spans="3:17">
      <c r="C650" t="s">
        <v>417</v>
      </c>
      <c r="D650" t="s">
        <v>682</v>
      </c>
      <c r="E650" t="s">
        <v>683</v>
      </c>
      <c r="G650" t="s">
        <v>514</v>
      </c>
      <c r="I650">
        <v>1200003761</v>
      </c>
      <c r="P650" t="s">
        <v>662</v>
      </c>
      <c r="Q650">
        <v>107</v>
      </c>
    </row>
    <row r="651" spans="3:17">
      <c r="C651" t="s">
        <v>417</v>
      </c>
      <c r="D651" t="s">
        <v>682</v>
      </c>
      <c r="E651" t="s">
        <v>683</v>
      </c>
      <c r="G651" t="s">
        <v>514</v>
      </c>
      <c r="I651">
        <v>1200003828</v>
      </c>
      <c r="P651" t="s">
        <v>662</v>
      </c>
      <c r="Q651">
        <v>66</v>
      </c>
    </row>
    <row r="652" spans="3:17">
      <c r="C652" t="s">
        <v>417</v>
      </c>
      <c r="D652" t="s">
        <v>682</v>
      </c>
      <c r="E652" t="s">
        <v>683</v>
      </c>
      <c r="G652" t="s">
        <v>514</v>
      </c>
      <c r="I652">
        <v>451100010</v>
      </c>
      <c r="P652" t="s">
        <v>662</v>
      </c>
      <c r="Q652">
        <v>165</v>
      </c>
    </row>
    <row r="653" spans="3:17">
      <c r="C653" t="s">
        <v>417</v>
      </c>
      <c r="D653" t="s">
        <v>682</v>
      </c>
      <c r="E653" t="s">
        <v>683</v>
      </c>
      <c r="G653" t="s">
        <v>686</v>
      </c>
      <c r="I653">
        <v>251100003</v>
      </c>
      <c r="P653" t="s">
        <v>73</v>
      </c>
      <c r="Q653">
        <v>70</v>
      </c>
    </row>
    <row r="654" spans="3:17">
      <c r="C654" t="s">
        <v>417</v>
      </c>
      <c r="D654" t="s">
        <v>682</v>
      </c>
      <c r="E654" t="s">
        <v>683</v>
      </c>
      <c r="G654" t="s">
        <v>686</v>
      </c>
      <c r="I654">
        <v>351100002</v>
      </c>
      <c r="P654" t="s">
        <v>73</v>
      </c>
      <c r="Q654">
        <v>50</v>
      </c>
    </row>
    <row r="655" spans="3:17">
      <c r="C655" t="s">
        <v>417</v>
      </c>
      <c r="D655" t="s">
        <v>682</v>
      </c>
      <c r="E655" t="s">
        <v>683</v>
      </c>
      <c r="G655" t="s">
        <v>686</v>
      </c>
      <c r="I655" t="s">
        <v>687</v>
      </c>
      <c r="P655" t="s">
        <v>73</v>
      </c>
      <c r="Q655">
        <v>1.5</v>
      </c>
    </row>
    <row r="656" spans="3:17">
      <c r="C656" t="s">
        <v>417</v>
      </c>
      <c r="D656" t="s">
        <v>682</v>
      </c>
      <c r="E656" t="s">
        <v>688</v>
      </c>
      <c r="G656" t="s">
        <v>689</v>
      </c>
      <c r="I656">
        <v>251100011</v>
      </c>
      <c r="P656" t="s">
        <v>73</v>
      </c>
      <c r="Q656">
        <v>66</v>
      </c>
    </row>
    <row r="657" spans="3:17">
      <c r="C657" t="s">
        <v>417</v>
      </c>
      <c r="D657" t="s">
        <v>682</v>
      </c>
      <c r="E657" t="s">
        <v>688</v>
      </c>
      <c r="G657" t="s">
        <v>690</v>
      </c>
      <c r="I657">
        <v>2200000061</v>
      </c>
      <c r="P657" t="s">
        <v>73</v>
      </c>
      <c r="Q657">
        <v>171.6</v>
      </c>
    </row>
    <row r="658" spans="3:17">
      <c r="C658" t="s">
        <v>417</v>
      </c>
      <c r="D658" t="s">
        <v>661</v>
      </c>
      <c r="E658" t="s">
        <v>516</v>
      </c>
      <c r="G658" t="s">
        <v>691</v>
      </c>
      <c r="I658" t="s">
        <v>692</v>
      </c>
      <c r="P658" t="s">
        <v>73</v>
      </c>
      <c r="Q658">
        <v>170</v>
      </c>
    </row>
    <row r="659" spans="3:17">
      <c r="C659" t="s">
        <v>417</v>
      </c>
      <c r="D659" t="s">
        <v>661</v>
      </c>
      <c r="E659" t="s">
        <v>516</v>
      </c>
      <c r="G659" t="s">
        <v>693</v>
      </c>
      <c r="I659" t="s">
        <v>694</v>
      </c>
      <c r="P659" t="s">
        <v>73</v>
      </c>
      <c r="Q659">
        <v>150</v>
      </c>
    </row>
    <row r="660" spans="3:17">
      <c r="C660" t="s">
        <v>417</v>
      </c>
      <c r="D660" t="s">
        <v>661</v>
      </c>
      <c r="E660" t="s">
        <v>516</v>
      </c>
      <c r="G660" t="s">
        <v>387</v>
      </c>
      <c r="I660">
        <v>2200000242</v>
      </c>
      <c r="P660" t="s">
        <v>73</v>
      </c>
      <c r="Q660">
        <v>198</v>
      </c>
    </row>
    <row r="661" spans="3:17">
      <c r="C661" t="s">
        <v>417</v>
      </c>
      <c r="D661" t="s">
        <v>682</v>
      </c>
      <c r="E661" t="s">
        <v>695</v>
      </c>
      <c r="G661" t="s">
        <v>696</v>
      </c>
      <c r="I661" t="s">
        <v>697</v>
      </c>
      <c r="P661" t="s">
        <v>73</v>
      </c>
      <c r="Q661">
        <v>189.84</v>
      </c>
    </row>
    <row r="662" spans="3:17">
      <c r="C662" t="s">
        <v>417</v>
      </c>
      <c r="D662" t="s">
        <v>682</v>
      </c>
      <c r="E662" t="s">
        <v>695</v>
      </c>
      <c r="G662" t="s">
        <v>698</v>
      </c>
      <c r="I662" t="s">
        <v>699</v>
      </c>
      <c r="P662" t="s">
        <v>73</v>
      </c>
      <c r="Q662">
        <v>150</v>
      </c>
    </row>
    <row r="663" spans="3:17">
      <c r="C663" t="s">
        <v>417</v>
      </c>
      <c r="D663" t="s">
        <v>682</v>
      </c>
      <c r="E663" t="s">
        <v>695</v>
      </c>
      <c r="G663" t="s">
        <v>700</v>
      </c>
      <c r="I663">
        <v>1200003825</v>
      </c>
      <c r="P663" t="s">
        <v>662</v>
      </c>
      <c r="Q663" t="s">
        <v>701</v>
      </c>
    </row>
    <row r="664" spans="3:17">
      <c r="C664" t="s">
        <v>417</v>
      </c>
      <c r="D664" t="s">
        <v>682</v>
      </c>
      <c r="E664" t="s">
        <v>695</v>
      </c>
      <c r="G664" t="s">
        <v>702</v>
      </c>
      <c r="I664">
        <v>1200003849</v>
      </c>
      <c r="P664" t="s">
        <v>73</v>
      </c>
      <c r="Q664">
        <v>45.07</v>
      </c>
    </row>
    <row r="665" spans="3:17">
      <c r="C665" t="s">
        <v>417</v>
      </c>
      <c r="D665" t="s">
        <v>682</v>
      </c>
      <c r="E665" t="s">
        <v>695</v>
      </c>
      <c r="G665" t="s">
        <v>702</v>
      </c>
      <c r="I665">
        <v>1200003392</v>
      </c>
      <c r="P665" t="s">
        <v>73</v>
      </c>
      <c r="Q665">
        <v>115</v>
      </c>
    </row>
    <row r="666" spans="3:17">
      <c r="C666" t="s">
        <v>417</v>
      </c>
      <c r="D666" t="s">
        <v>682</v>
      </c>
      <c r="E666" t="s">
        <v>695</v>
      </c>
      <c r="G666" t="s">
        <v>703</v>
      </c>
      <c r="I666">
        <v>1200003822</v>
      </c>
      <c r="P666" t="s">
        <v>662</v>
      </c>
      <c r="Q666" t="s">
        <v>704</v>
      </c>
    </row>
    <row r="667" spans="3:17">
      <c r="C667" t="s">
        <v>417</v>
      </c>
      <c r="D667" t="s">
        <v>682</v>
      </c>
      <c r="E667" t="s">
        <v>695</v>
      </c>
      <c r="G667" t="s">
        <v>703</v>
      </c>
      <c r="I667">
        <v>1200003909</v>
      </c>
      <c r="P667" t="s">
        <v>662</v>
      </c>
      <c r="Q667">
        <v>120</v>
      </c>
    </row>
    <row r="668" spans="3:17">
      <c r="C668" t="s">
        <v>417</v>
      </c>
      <c r="D668" t="s">
        <v>682</v>
      </c>
      <c r="E668" t="s">
        <v>695</v>
      </c>
      <c r="G668" t="s">
        <v>703</v>
      </c>
      <c r="I668">
        <v>451100013</v>
      </c>
      <c r="P668" t="s">
        <v>662</v>
      </c>
      <c r="Q668" t="s">
        <v>705</v>
      </c>
    </row>
    <row r="669" spans="3:17">
      <c r="C669" t="s">
        <v>417</v>
      </c>
      <c r="D669" t="s">
        <v>667</v>
      </c>
      <c r="E669" t="s">
        <v>706</v>
      </c>
      <c r="G669" t="s">
        <v>707</v>
      </c>
      <c r="I669" t="s">
        <v>470</v>
      </c>
      <c r="P669" t="s">
        <v>662</v>
      </c>
      <c r="Q669">
        <v>900</v>
      </c>
    </row>
    <row r="670" spans="3:17">
      <c r="C670" t="s">
        <v>417</v>
      </c>
      <c r="D670" t="s">
        <v>667</v>
      </c>
      <c r="E670" t="s">
        <v>706</v>
      </c>
      <c r="G670" t="s">
        <v>708</v>
      </c>
      <c r="I670" t="s">
        <v>471</v>
      </c>
      <c r="P670" t="s">
        <v>48</v>
      </c>
      <c r="Q670">
        <v>565</v>
      </c>
    </row>
    <row r="671" spans="3:17">
      <c r="C671" t="s">
        <v>417</v>
      </c>
      <c r="D671" t="s">
        <v>667</v>
      </c>
      <c r="E671" t="s">
        <v>706</v>
      </c>
      <c r="G671" t="s">
        <v>472</v>
      </c>
      <c r="I671">
        <v>350200006</v>
      </c>
      <c r="P671" t="s">
        <v>48</v>
      </c>
      <c r="Q671">
        <v>260</v>
      </c>
    </row>
    <row r="672" spans="3:17">
      <c r="C672" t="s">
        <v>417</v>
      </c>
      <c r="D672" t="s">
        <v>667</v>
      </c>
      <c r="E672" t="s">
        <v>706</v>
      </c>
      <c r="G672" t="s">
        <v>295</v>
      </c>
      <c r="I672">
        <v>2200000012</v>
      </c>
      <c r="P672" t="s">
        <v>662</v>
      </c>
      <c r="Q672" t="s">
        <v>443</v>
      </c>
    </row>
    <row r="673" spans="3:17">
      <c r="C673" t="s">
        <v>417</v>
      </c>
      <c r="D673" t="s">
        <v>667</v>
      </c>
      <c r="E673" t="s">
        <v>444</v>
      </c>
      <c r="G673" t="s">
        <v>446</v>
      </c>
      <c r="I673">
        <v>2200000150</v>
      </c>
      <c r="P673" t="s">
        <v>662</v>
      </c>
      <c r="Q673" t="s">
        <v>709</v>
      </c>
    </row>
    <row r="674" spans="3:17">
      <c r="C674" t="s">
        <v>417</v>
      </c>
      <c r="D674" t="s">
        <v>667</v>
      </c>
      <c r="E674" t="s">
        <v>444</v>
      </c>
      <c r="G674" t="s">
        <v>448</v>
      </c>
      <c r="I674">
        <v>2200000231</v>
      </c>
      <c r="P674" t="s">
        <v>72</v>
      </c>
      <c r="Q674">
        <v>100</v>
      </c>
    </row>
    <row r="675" spans="3:17">
      <c r="C675" t="s">
        <v>417</v>
      </c>
      <c r="D675" t="s">
        <v>667</v>
      </c>
      <c r="E675" t="s">
        <v>444</v>
      </c>
      <c r="G675" t="s">
        <v>460</v>
      </c>
      <c r="I675">
        <v>2200000329</v>
      </c>
      <c r="P675" t="s">
        <v>72</v>
      </c>
      <c r="Q675">
        <v>300</v>
      </c>
    </row>
    <row r="676" spans="3:17">
      <c r="C676" t="s">
        <v>417</v>
      </c>
      <c r="D676" t="s">
        <v>667</v>
      </c>
      <c r="E676" t="s">
        <v>444</v>
      </c>
      <c r="G676" t="s">
        <v>460</v>
      </c>
      <c r="I676">
        <v>2200000330</v>
      </c>
      <c r="P676" t="s">
        <v>72</v>
      </c>
      <c r="Q676">
        <v>300</v>
      </c>
    </row>
    <row r="677" spans="3:17">
      <c r="C677" t="s">
        <v>417</v>
      </c>
      <c r="D677" t="s">
        <v>667</v>
      </c>
      <c r="E677" t="s">
        <v>444</v>
      </c>
      <c r="G677" t="s">
        <v>169</v>
      </c>
      <c r="I677">
        <v>2200000335</v>
      </c>
      <c r="P677" t="s">
        <v>72</v>
      </c>
      <c r="Q677" t="s">
        <v>710</v>
      </c>
    </row>
    <row r="678" spans="3:17">
      <c r="C678" t="s">
        <v>417</v>
      </c>
      <c r="D678" t="s">
        <v>667</v>
      </c>
      <c r="E678" t="s">
        <v>466</v>
      </c>
      <c r="G678" t="s">
        <v>467</v>
      </c>
      <c r="I678">
        <v>2200000250</v>
      </c>
      <c r="P678" t="s">
        <v>72</v>
      </c>
      <c r="Q678">
        <v>100</v>
      </c>
    </row>
    <row r="679" spans="3:17">
      <c r="C679" t="s">
        <v>417</v>
      </c>
      <c r="D679" t="s">
        <v>667</v>
      </c>
      <c r="E679" t="s">
        <v>464</v>
      </c>
      <c r="G679" t="s">
        <v>465</v>
      </c>
      <c r="I679">
        <v>2200000633</v>
      </c>
      <c r="P679" t="s">
        <v>72</v>
      </c>
      <c r="Q679">
        <v>52.6</v>
      </c>
    </row>
    <row r="680" spans="3:17">
      <c r="C680" t="s">
        <v>417</v>
      </c>
      <c r="D680" t="s">
        <v>682</v>
      </c>
      <c r="E680" t="s">
        <v>711</v>
      </c>
      <c r="G680" t="s">
        <v>712</v>
      </c>
      <c r="I680" t="s">
        <v>713</v>
      </c>
      <c r="P680" t="s">
        <v>73</v>
      </c>
      <c r="Q680">
        <v>300</v>
      </c>
    </row>
    <row r="681" spans="3:17">
      <c r="C681" t="s">
        <v>417</v>
      </c>
      <c r="D681" t="s">
        <v>682</v>
      </c>
      <c r="E681" t="s">
        <v>711</v>
      </c>
      <c r="G681" t="s">
        <v>714</v>
      </c>
      <c r="I681">
        <v>1200003590</v>
      </c>
      <c r="P681" t="s">
        <v>72</v>
      </c>
      <c r="Q681">
        <v>200</v>
      </c>
    </row>
    <row r="682" spans="3:17">
      <c r="C682" t="s">
        <v>417</v>
      </c>
      <c r="D682" t="s">
        <v>661</v>
      </c>
      <c r="E682" t="s">
        <v>522</v>
      </c>
      <c r="G682" t="s">
        <v>345</v>
      </c>
      <c r="I682">
        <v>2200000197</v>
      </c>
      <c r="P682" t="s">
        <v>73</v>
      </c>
      <c r="Q682">
        <v>52.8</v>
      </c>
    </row>
    <row r="683" spans="3:17">
      <c r="C683" t="s">
        <v>417</v>
      </c>
      <c r="D683" t="s">
        <v>667</v>
      </c>
      <c r="E683" t="s">
        <v>715</v>
      </c>
      <c r="G683" t="s">
        <v>474</v>
      </c>
      <c r="I683">
        <v>1200002271</v>
      </c>
      <c r="P683" t="s">
        <v>72</v>
      </c>
      <c r="Q683">
        <v>100</v>
      </c>
    </row>
    <row r="684" spans="3:17">
      <c r="C684" t="s">
        <v>417</v>
      </c>
      <c r="D684" t="s">
        <v>667</v>
      </c>
      <c r="E684" t="s">
        <v>475</v>
      </c>
      <c r="G684" t="s">
        <v>476</v>
      </c>
      <c r="I684">
        <v>1200002272</v>
      </c>
      <c r="P684" t="s">
        <v>72</v>
      </c>
      <c r="Q684">
        <v>25</v>
      </c>
    </row>
    <row r="685" spans="3:17">
      <c r="C685" t="s">
        <v>417</v>
      </c>
      <c r="D685" t="s">
        <v>661</v>
      </c>
      <c r="E685" t="s">
        <v>716</v>
      </c>
      <c r="G685" t="s">
        <v>717</v>
      </c>
      <c r="I685">
        <v>2200001115</v>
      </c>
      <c r="P685" t="s">
        <v>662</v>
      </c>
      <c r="Q685">
        <v>175</v>
      </c>
    </row>
    <row r="686" spans="3:17">
      <c r="C686" t="s">
        <v>417</v>
      </c>
      <c r="D686" t="s">
        <v>661</v>
      </c>
      <c r="E686" t="s">
        <v>716</v>
      </c>
      <c r="G686" t="s">
        <v>718</v>
      </c>
      <c r="I686">
        <v>2200001120</v>
      </c>
      <c r="P686" t="s">
        <v>72</v>
      </c>
      <c r="Q686">
        <v>50</v>
      </c>
    </row>
    <row r="687" spans="3:17">
      <c r="C687" t="s">
        <v>417</v>
      </c>
      <c r="D687" t="s">
        <v>661</v>
      </c>
      <c r="E687" t="s">
        <v>516</v>
      </c>
      <c r="G687" t="s">
        <v>520</v>
      </c>
      <c r="I687">
        <v>2200000438</v>
      </c>
      <c r="P687" t="s">
        <v>73</v>
      </c>
      <c r="Q687">
        <v>300</v>
      </c>
    </row>
    <row r="688" spans="3:17">
      <c r="C688" t="s">
        <v>68</v>
      </c>
      <c r="D688" t="s">
        <v>69</v>
      </c>
      <c r="E688" t="s">
        <v>241</v>
      </c>
      <c r="G688" t="s">
        <v>244</v>
      </c>
      <c r="I688">
        <v>1200003772</v>
      </c>
      <c r="P688" t="s">
        <v>72</v>
      </c>
      <c r="Q688">
        <v>105</v>
      </c>
    </row>
    <row r="689" spans="3:17">
      <c r="C689" t="s">
        <v>68</v>
      </c>
      <c r="D689" t="s">
        <v>69</v>
      </c>
      <c r="E689" t="s">
        <v>241</v>
      </c>
      <c r="G689" t="s">
        <v>244</v>
      </c>
      <c r="I689">
        <v>312100003</v>
      </c>
      <c r="P689" t="s">
        <v>72</v>
      </c>
      <c r="Q689">
        <v>125</v>
      </c>
    </row>
    <row r="690" spans="3:17">
      <c r="C690" t="s">
        <v>68</v>
      </c>
      <c r="D690" t="s">
        <v>69</v>
      </c>
      <c r="E690" t="s">
        <v>675</v>
      </c>
      <c r="G690" t="s">
        <v>287</v>
      </c>
      <c r="I690">
        <v>1200003582</v>
      </c>
      <c r="P690" t="s">
        <v>72</v>
      </c>
      <c r="Q690">
        <v>300</v>
      </c>
    </row>
    <row r="691" spans="3:17">
      <c r="C691" t="s">
        <v>68</v>
      </c>
      <c r="D691" t="s">
        <v>69</v>
      </c>
      <c r="E691" t="s">
        <v>675</v>
      </c>
      <c r="G691" t="s">
        <v>260</v>
      </c>
      <c r="I691">
        <v>1200003624</v>
      </c>
      <c r="P691" t="s">
        <v>72</v>
      </c>
      <c r="Q691">
        <v>38</v>
      </c>
    </row>
    <row r="692" spans="3:17">
      <c r="C692" t="s">
        <v>68</v>
      </c>
      <c r="D692" t="s">
        <v>69</v>
      </c>
      <c r="E692" t="s">
        <v>675</v>
      </c>
      <c r="G692" t="s">
        <v>256</v>
      </c>
      <c r="I692">
        <v>1200003625</v>
      </c>
      <c r="P692" t="s">
        <v>72</v>
      </c>
      <c r="Q692">
        <v>38</v>
      </c>
    </row>
    <row r="693" spans="3:17">
      <c r="C693" t="s">
        <v>68</v>
      </c>
      <c r="D693" t="s">
        <v>69</v>
      </c>
      <c r="E693" t="s">
        <v>675</v>
      </c>
      <c r="G693" t="s">
        <v>250</v>
      </c>
      <c r="I693">
        <v>1200003626</v>
      </c>
      <c r="P693" t="s">
        <v>72</v>
      </c>
      <c r="Q693">
        <v>38</v>
      </c>
    </row>
    <row r="694" spans="3:17">
      <c r="C694" t="s">
        <v>68</v>
      </c>
      <c r="D694" t="s">
        <v>69</v>
      </c>
      <c r="E694" t="s">
        <v>675</v>
      </c>
      <c r="G694" t="s">
        <v>264</v>
      </c>
      <c r="I694">
        <v>1200003390</v>
      </c>
      <c r="P694" t="s">
        <v>72</v>
      </c>
      <c r="Q694">
        <v>300</v>
      </c>
    </row>
    <row r="695" spans="3:17">
      <c r="C695" t="s">
        <v>68</v>
      </c>
      <c r="D695" t="s">
        <v>69</v>
      </c>
      <c r="E695" t="s">
        <v>675</v>
      </c>
      <c r="G695" t="s">
        <v>265</v>
      </c>
      <c r="I695">
        <v>1200003893</v>
      </c>
      <c r="P695" t="s">
        <v>72</v>
      </c>
      <c r="Q695">
        <v>100</v>
      </c>
    </row>
    <row r="696" spans="3:17">
      <c r="C696" t="s">
        <v>68</v>
      </c>
      <c r="D696" t="s">
        <v>69</v>
      </c>
      <c r="E696" t="s">
        <v>675</v>
      </c>
      <c r="G696" t="s">
        <v>266</v>
      </c>
      <c r="I696">
        <v>1200003785</v>
      </c>
      <c r="P696" t="s">
        <v>72</v>
      </c>
      <c r="Q696">
        <v>400</v>
      </c>
    </row>
    <row r="697" spans="3:17">
      <c r="C697" t="s">
        <v>68</v>
      </c>
      <c r="D697" t="s">
        <v>69</v>
      </c>
      <c r="E697" t="s">
        <v>675</v>
      </c>
      <c r="G697" t="s">
        <v>266</v>
      </c>
      <c r="I697" t="s">
        <v>267</v>
      </c>
      <c r="P697" t="s">
        <v>72</v>
      </c>
      <c r="Q697">
        <v>150</v>
      </c>
    </row>
    <row r="698" spans="3:17">
      <c r="C698" t="s">
        <v>68</v>
      </c>
      <c r="D698" t="s">
        <v>69</v>
      </c>
      <c r="E698" t="s">
        <v>675</v>
      </c>
      <c r="G698" t="s">
        <v>679</v>
      </c>
      <c r="I698">
        <v>1200003628</v>
      </c>
      <c r="P698" t="s">
        <v>72</v>
      </c>
      <c r="Q698">
        <v>100</v>
      </c>
    </row>
    <row r="699" spans="3:17">
      <c r="C699" t="s">
        <v>68</v>
      </c>
      <c r="D699" t="s">
        <v>69</v>
      </c>
      <c r="E699" t="s">
        <v>675</v>
      </c>
      <c r="G699" t="s">
        <v>679</v>
      </c>
      <c r="I699">
        <v>1200003838</v>
      </c>
      <c r="P699" t="s">
        <v>72</v>
      </c>
      <c r="Q699">
        <v>120</v>
      </c>
    </row>
    <row r="700" spans="3:17">
      <c r="C700" t="s">
        <v>68</v>
      </c>
      <c r="D700" t="s">
        <v>69</v>
      </c>
      <c r="E700" t="s">
        <v>675</v>
      </c>
      <c r="G700" t="s">
        <v>269</v>
      </c>
      <c r="I700">
        <v>1200003623</v>
      </c>
      <c r="P700" t="s">
        <v>72</v>
      </c>
      <c r="Q700">
        <v>50</v>
      </c>
    </row>
    <row r="701" spans="3:17">
      <c r="C701" t="s">
        <v>68</v>
      </c>
      <c r="D701" t="s">
        <v>69</v>
      </c>
      <c r="E701" t="s">
        <v>675</v>
      </c>
      <c r="G701" t="s">
        <v>262</v>
      </c>
      <c r="I701">
        <v>1200003770</v>
      </c>
      <c r="P701" t="s">
        <v>72</v>
      </c>
      <c r="Q701">
        <v>114</v>
      </c>
    </row>
    <row r="702" spans="3:17">
      <c r="C702" t="s">
        <v>68</v>
      </c>
      <c r="D702" t="s">
        <v>69</v>
      </c>
      <c r="E702" t="s">
        <v>675</v>
      </c>
      <c r="G702" t="s">
        <v>262</v>
      </c>
      <c r="I702">
        <v>1200003839</v>
      </c>
      <c r="P702" t="s">
        <v>72</v>
      </c>
      <c r="Q702">
        <v>60</v>
      </c>
    </row>
    <row r="703" spans="3:17">
      <c r="C703" t="s">
        <v>417</v>
      </c>
      <c r="D703" t="s">
        <v>682</v>
      </c>
      <c r="E703" t="s">
        <v>719</v>
      </c>
      <c r="G703" t="s">
        <v>720</v>
      </c>
      <c r="I703">
        <v>251100010</v>
      </c>
      <c r="P703" t="s">
        <v>73</v>
      </c>
      <c r="Q703">
        <v>300</v>
      </c>
    </row>
    <row r="704" spans="3:17">
      <c r="C704" t="s">
        <v>417</v>
      </c>
      <c r="D704" t="s">
        <v>682</v>
      </c>
      <c r="E704" t="s">
        <v>719</v>
      </c>
      <c r="G704" t="s">
        <v>721</v>
      </c>
      <c r="I704">
        <v>251100006</v>
      </c>
      <c r="P704" t="s">
        <v>73</v>
      </c>
      <c r="Q704">
        <v>200</v>
      </c>
    </row>
    <row r="705" spans="3:17">
      <c r="C705" t="s">
        <v>417</v>
      </c>
      <c r="D705" t="s">
        <v>682</v>
      </c>
      <c r="E705" t="s">
        <v>719</v>
      </c>
      <c r="G705" t="s">
        <v>722</v>
      </c>
      <c r="I705">
        <v>251100012</v>
      </c>
      <c r="P705" t="s">
        <v>73</v>
      </c>
      <c r="Q705">
        <v>170</v>
      </c>
    </row>
    <row r="706" spans="3:17">
      <c r="C706" t="s">
        <v>417</v>
      </c>
      <c r="D706" t="s">
        <v>682</v>
      </c>
      <c r="E706" t="s">
        <v>719</v>
      </c>
      <c r="G706" t="s">
        <v>722</v>
      </c>
      <c r="I706">
        <v>351100009</v>
      </c>
      <c r="P706" t="s">
        <v>73</v>
      </c>
      <c r="Q706">
        <v>170</v>
      </c>
    </row>
    <row r="707" spans="3:17">
      <c r="C707" t="s">
        <v>417</v>
      </c>
      <c r="D707" t="s">
        <v>682</v>
      </c>
      <c r="E707" t="s">
        <v>719</v>
      </c>
      <c r="G707" t="s">
        <v>723</v>
      </c>
      <c r="I707">
        <v>2200000088</v>
      </c>
      <c r="P707" t="s">
        <v>724</v>
      </c>
      <c r="Q707">
        <v>640</v>
      </c>
    </row>
    <row r="708" spans="3:17">
      <c r="C708" t="s">
        <v>417</v>
      </c>
      <c r="D708" t="s">
        <v>682</v>
      </c>
      <c r="E708" t="s">
        <v>725</v>
      </c>
      <c r="G708" t="s">
        <v>722</v>
      </c>
      <c r="I708">
        <v>251100021</v>
      </c>
      <c r="P708" t="s">
        <v>73</v>
      </c>
      <c r="Q708">
        <v>300</v>
      </c>
    </row>
    <row r="709" spans="3:17">
      <c r="C709" t="s">
        <v>417</v>
      </c>
      <c r="D709" t="s">
        <v>682</v>
      </c>
      <c r="E709" t="s">
        <v>725</v>
      </c>
      <c r="G709" t="s">
        <v>726</v>
      </c>
      <c r="I709">
        <v>251100013</v>
      </c>
      <c r="P709" t="s">
        <v>73</v>
      </c>
      <c r="Q709">
        <v>85</v>
      </c>
    </row>
    <row r="710" spans="3:17">
      <c r="C710" t="s">
        <v>417</v>
      </c>
      <c r="D710" t="s">
        <v>682</v>
      </c>
      <c r="E710" t="s">
        <v>725</v>
      </c>
      <c r="G710" t="s">
        <v>726</v>
      </c>
      <c r="I710">
        <v>351100008</v>
      </c>
      <c r="P710" t="s">
        <v>73</v>
      </c>
      <c r="Q710">
        <v>85</v>
      </c>
    </row>
    <row r="711" spans="3:17">
      <c r="C711" t="s">
        <v>417</v>
      </c>
      <c r="D711" t="s">
        <v>682</v>
      </c>
      <c r="E711" t="s">
        <v>725</v>
      </c>
      <c r="G711" t="s">
        <v>727</v>
      </c>
      <c r="I711">
        <v>2200000058</v>
      </c>
      <c r="P711" t="s">
        <v>73</v>
      </c>
      <c r="Q711">
        <v>300</v>
      </c>
    </row>
    <row r="712" spans="3:17">
      <c r="C712" t="s">
        <v>417</v>
      </c>
      <c r="D712" t="s">
        <v>682</v>
      </c>
      <c r="E712" t="s">
        <v>725</v>
      </c>
      <c r="G712" t="s">
        <v>352</v>
      </c>
      <c r="I712">
        <v>2200000141</v>
      </c>
      <c r="P712" t="s">
        <v>73</v>
      </c>
      <c r="Q712">
        <v>184</v>
      </c>
    </row>
    <row r="713" spans="3:17">
      <c r="C713" t="s">
        <v>417</v>
      </c>
      <c r="D713" t="s">
        <v>682</v>
      </c>
      <c r="E713" t="s">
        <v>725</v>
      </c>
      <c r="G713" t="s">
        <v>728</v>
      </c>
      <c r="I713">
        <v>2200000126</v>
      </c>
      <c r="P713" t="s">
        <v>73</v>
      </c>
      <c r="Q713">
        <v>153.6</v>
      </c>
    </row>
    <row r="714" spans="3:17">
      <c r="C714" t="s">
        <v>417</v>
      </c>
      <c r="D714" t="s">
        <v>729</v>
      </c>
      <c r="E714" t="s">
        <v>466</v>
      </c>
      <c r="G714" t="s">
        <v>283</v>
      </c>
      <c r="I714">
        <v>2200000388</v>
      </c>
      <c r="P714" t="s">
        <v>72</v>
      </c>
      <c r="Q714">
        <v>100</v>
      </c>
    </row>
    <row r="715" spans="3:17">
      <c r="C715" t="s">
        <v>417</v>
      </c>
      <c r="D715" t="s">
        <v>682</v>
      </c>
      <c r="E715" t="s">
        <v>711</v>
      </c>
      <c r="G715" t="s">
        <v>730</v>
      </c>
      <c r="I715">
        <v>1200003815</v>
      </c>
      <c r="P715" t="s">
        <v>72</v>
      </c>
      <c r="Q715">
        <v>500</v>
      </c>
    </row>
    <row r="716" spans="3:17">
      <c r="C716" t="s">
        <v>417</v>
      </c>
      <c r="D716" t="s">
        <v>682</v>
      </c>
      <c r="E716" t="s">
        <v>711</v>
      </c>
      <c r="G716" t="s">
        <v>731</v>
      </c>
      <c r="I716">
        <v>2200000057</v>
      </c>
      <c r="P716" t="s">
        <v>72</v>
      </c>
      <c r="Q716">
        <v>100</v>
      </c>
    </row>
    <row r="717" spans="3:17">
      <c r="C717" t="s">
        <v>68</v>
      </c>
      <c r="D717" t="s">
        <v>69</v>
      </c>
      <c r="E717" t="s">
        <v>732</v>
      </c>
      <c r="G717" t="s">
        <v>335</v>
      </c>
      <c r="I717" t="s">
        <v>336</v>
      </c>
      <c r="J717">
        <v>1200003096</v>
      </c>
      <c r="P717" t="s">
        <v>72</v>
      </c>
      <c r="Q717">
        <v>400</v>
      </c>
    </row>
    <row r="718" spans="3:17">
      <c r="C718" t="s">
        <v>68</v>
      </c>
      <c r="D718" t="s">
        <v>69</v>
      </c>
      <c r="E718" t="s">
        <v>732</v>
      </c>
      <c r="G718" t="s">
        <v>337</v>
      </c>
      <c r="I718" t="s">
        <v>338</v>
      </c>
      <c r="J718">
        <v>1200003879</v>
      </c>
      <c r="P718" t="s">
        <v>72</v>
      </c>
      <c r="Q718">
        <v>100</v>
      </c>
    </row>
    <row r="719" spans="3:17">
      <c r="C719" t="s">
        <v>68</v>
      </c>
      <c r="D719" t="s">
        <v>69</v>
      </c>
      <c r="E719" t="s">
        <v>732</v>
      </c>
      <c r="G719" t="s">
        <v>339</v>
      </c>
      <c r="I719" t="s">
        <v>340</v>
      </c>
      <c r="J719">
        <v>1200003931</v>
      </c>
      <c r="P719" t="s">
        <v>72</v>
      </c>
      <c r="Q719">
        <v>300</v>
      </c>
    </row>
    <row r="720" spans="3:17">
      <c r="C720" t="s">
        <v>68</v>
      </c>
      <c r="D720" t="s">
        <v>69</v>
      </c>
      <c r="E720" t="s">
        <v>732</v>
      </c>
      <c r="G720" t="s">
        <v>341</v>
      </c>
      <c r="I720" t="s">
        <v>342</v>
      </c>
      <c r="J720">
        <v>412100007</v>
      </c>
      <c r="P720" t="s">
        <v>72</v>
      </c>
      <c r="Q720">
        <v>200</v>
      </c>
    </row>
    <row r="721" spans="3:17">
      <c r="C721" t="s">
        <v>68</v>
      </c>
      <c r="D721" t="s">
        <v>69</v>
      </c>
      <c r="E721" t="s">
        <v>732</v>
      </c>
      <c r="G721" t="s">
        <v>319</v>
      </c>
      <c r="I721">
        <v>1200003502</v>
      </c>
      <c r="P721" t="s">
        <v>72</v>
      </c>
      <c r="Q721">
        <v>250</v>
      </c>
    </row>
    <row r="722" spans="3:17">
      <c r="C722" t="s">
        <v>68</v>
      </c>
      <c r="D722" t="s">
        <v>69</v>
      </c>
      <c r="E722" t="s">
        <v>732</v>
      </c>
      <c r="G722" t="s">
        <v>320</v>
      </c>
      <c r="I722">
        <v>1200002746</v>
      </c>
      <c r="P722" t="s">
        <v>72</v>
      </c>
      <c r="Q722">
        <v>210</v>
      </c>
    </row>
    <row r="723" spans="3:17">
      <c r="C723" t="s">
        <v>68</v>
      </c>
      <c r="D723" t="s">
        <v>69</v>
      </c>
      <c r="E723" t="s">
        <v>732</v>
      </c>
      <c r="G723" t="s">
        <v>321</v>
      </c>
      <c r="I723">
        <v>1200002778</v>
      </c>
      <c r="P723" t="s">
        <v>72</v>
      </c>
      <c r="Q723">
        <v>210</v>
      </c>
    </row>
    <row r="724" spans="3:17">
      <c r="C724" t="s">
        <v>68</v>
      </c>
      <c r="D724" t="s">
        <v>69</v>
      </c>
      <c r="E724" t="s">
        <v>732</v>
      </c>
      <c r="G724" t="s">
        <v>322</v>
      </c>
      <c r="I724">
        <v>1200003447</v>
      </c>
      <c r="P724" t="s">
        <v>72</v>
      </c>
      <c r="Q724">
        <v>300</v>
      </c>
    </row>
    <row r="725" spans="3:17">
      <c r="C725" t="s">
        <v>68</v>
      </c>
      <c r="D725" t="s">
        <v>69</v>
      </c>
      <c r="E725" t="s">
        <v>732</v>
      </c>
      <c r="G725" t="s">
        <v>323</v>
      </c>
      <c r="I725">
        <v>1200003488</v>
      </c>
      <c r="P725" t="s">
        <v>72</v>
      </c>
      <c r="Q725">
        <v>200</v>
      </c>
    </row>
    <row r="726" spans="3:17">
      <c r="C726" t="s">
        <v>68</v>
      </c>
      <c r="D726" t="s">
        <v>69</v>
      </c>
      <c r="E726" t="s">
        <v>732</v>
      </c>
      <c r="G726" t="s">
        <v>323</v>
      </c>
      <c r="I726">
        <v>1200003496</v>
      </c>
      <c r="P726" t="s">
        <v>72</v>
      </c>
      <c r="Q726">
        <v>100</v>
      </c>
    </row>
    <row r="727" spans="3:17">
      <c r="C727" t="s">
        <v>68</v>
      </c>
      <c r="D727" t="s">
        <v>69</v>
      </c>
      <c r="E727" t="s">
        <v>732</v>
      </c>
      <c r="G727" t="s">
        <v>324</v>
      </c>
      <c r="I727">
        <v>1200003504</v>
      </c>
      <c r="P727" t="s">
        <v>72</v>
      </c>
      <c r="Q727">
        <v>100</v>
      </c>
    </row>
    <row r="728" spans="3:17">
      <c r="C728" t="s">
        <v>68</v>
      </c>
      <c r="D728" t="s">
        <v>69</v>
      </c>
      <c r="E728" t="s">
        <v>732</v>
      </c>
      <c r="G728" t="s">
        <v>324</v>
      </c>
      <c r="I728" t="s">
        <v>325</v>
      </c>
      <c r="P728" t="s">
        <v>72</v>
      </c>
      <c r="Q728">
        <v>100</v>
      </c>
    </row>
    <row r="729" spans="3:17">
      <c r="C729" t="s">
        <v>68</v>
      </c>
      <c r="D729" t="s">
        <v>69</v>
      </c>
      <c r="E729" t="s">
        <v>732</v>
      </c>
      <c r="G729" t="s">
        <v>324</v>
      </c>
      <c r="I729" t="s">
        <v>733</v>
      </c>
      <c r="P729" t="s">
        <v>72</v>
      </c>
      <c r="Q729">
        <v>100</v>
      </c>
    </row>
    <row r="730" spans="3:17">
      <c r="C730" t="s">
        <v>68</v>
      </c>
      <c r="D730" t="s">
        <v>69</v>
      </c>
      <c r="E730" t="s">
        <v>732</v>
      </c>
      <c r="G730" t="s">
        <v>326</v>
      </c>
      <c r="I730">
        <v>1200002939</v>
      </c>
      <c r="P730" t="s">
        <v>72</v>
      </c>
      <c r="Q730">
        <v>80</v>
      </c>
    </row>
    <row r="731" spans="3:17">
      <c r="C731" t="s">
        <v>68</v>
      </c>
      <c r="D731" t="s">
        <v>69</v>
      </c>
      <c r="E731" t="s">
        <v>732</v>
      </c>
      <c r="G731" t="s">
        <v>327</v>
      </c>
      <c r="I731" t="s">
        <v>734</v>
      </c>
      <c r="P731" t="s">
        <v>72</v>
      </c>
      <c r="Q731">
        <v>200</v>
      </c>
    </row>
    <row r="732" spans="3:17">
      <c r="C732" t="s">
        <v>68</v>
      </c>
      <c r="D732" t="s">
        <v>69</v>
      </c>
      <c r="E732" t="s">
        <v>735</v>
      </c>
      <c r="G732" t="s">
        <v>213</v>
      </c>
      <c r="I732" t="s">
        <v>358</v>
      </c>
      <c r="J732">
        <v>1200003416</v>
      </c>
      <c r="P732" t="s">
        <v>72</v>
      </c>
      <c r="Q732">
        <v>130</v>
      </c>
    </row>
    <row r="733" spans="3:17">
      <c r="C733" t="s">
        <v>68</v>
      </c>
      <c r="D733" t="s">
        <v>69</v>
      </c>
      <c r="E733" t="s">
        <v>735</v>
      </c>
      <c r="G733" t="s">
        <v>359</v>
      </c>
      <c r="I733" t="s">
        <v>360</v>
      </c>
      <c r="J733">
        <v>1200003531</v>
      </c>
      <c r="P733" t="s">
        <v>72</v>
      </c>
      <c r="Q733">
        <v>380</v>
      </c>
    </row>
    <row r="734" spans="3:17">
      <c r="C734" t="s">
        <v>68</v>
      </c>
      <c r="D734" t="s">
        <v>69</v>
      </c>
      <c r="E734" t="s">
        <v>735</v>
      </c>
      <c r="G734" t="s">
        <v>361</v>
      </c>
      <c r="I734" t="s">
        <v>736</v>
      </c>
      <c r="P734" t="s">
        <v>662</v>
      </c>
      <c r="Q734">
        <v>150</v>
      </c>
    </row>
    <row r="735" spans="3:17">
      <c r="C735" t="s">
        <v>68</v>
      </c>
      <c r="D735" t="s">
        <v>69</v>
      </c>
      <c r="E735" t="s">
        <v>735</v>
      </c>
      <c r="G735" t="s">
        <v>213</v>
      </c>
      <c r="I735" t="s">
        <v>737</v>
      </c>
      <c r="P735" t="s">
        <v>662</v>
      </c>
      <c r="Q735">
        <v>120</v>
      </c>
    </row>
    <row r="736" spans="3:17">
      <c r="C736" t="s">
        <v>68</v>
      </c>
      <c r="D736" t="s">
        <v>69</v>
      </c>
      <c r="E736" t="s">
        <v>735</v>
      </c>
      <c r="G736" t="s">
        <v>364</v>
      </c>
      <c r="I736">
        <v>1200003332</v>
      </c>
      <c r="P736" t="s">
        <v>72</v>
      </c>
      <c r="Q736">
        <v>110</v>
      </c>
    </row>
    <row r="737" spans="3:17">
      <c r="C737" t="s">
        <v>68</v>
      </c>
      <c r="D737" t="s">
        <v>69</v>
      </c>
      <c r="E737" t="s">
        <v>735</v>
      </c>
      <c r="G737" t="s">
        <v>364</v>
      </c>
      <c r="I737">
        <v>1200003575</v>
      </c>
      <c r="P737" t="s">
        <v>72</v>
      </c>
      <c r="Q737">
        <v>270</v>
      </c>
    </row>
    <row r="738" spans="3:17">
      <c r="C738" t="s">
        <v>417</v>
      </c>
      <c r="D738" t="s">
        <v>682</v>
      </c>
      <c r="E738" t="s">
        <v>719</v>
      </c>
      <c r="G738" t="s">
        <v>738</v>
      </c>
      <c r="I738">
        <v>2200000006</v>
      </c>
      <c r="P738" t="s">
        <v>662</v>
      </c>
      <c r="Q738" t="s">
        <v>739</v>
      </c>
    </row>
    <row r="739" spans="3:17">
      <c r="C739" t="s">
        <v>417</v>
      </c>
      <c r="D739" t="s">
        <v>682</v>
      </c>
      <c r="E739" t="s">
        <v>719</v>
      </c>
      <c r="G739" t="s">
        <v>740</v>
      </c>
      <c r="I739">
        <v>2200000072</v>
      </c>
      <c r="P739" t="s">
        <v>73</v>
      </c>
      <c r="Q739">
        <v>480</v>
      </c>
    </row>
    <row r="740" spans="3:17">
      <c r="C740" t="s">
        <v>417</v>
      </c>
      <c r="D740" t="s">
        <v>682</v>
      </c>
      <c r="E740" t="s">
        <v>719</v>
      </c>
      <c r="G740" t="s">
        <v>218</v>
      </c>
      <c r="I740">
        <v>2200000074</v>
      </c>
      <c r="P740" t="s">
        <v>662</v>
      </c>
      <c r="Q740">
        <v>109</v>
      </c>
    </row>
    <row r="741" spans="3:17">
      <c r="C741" t="s">
        <v>417</v>
      </c>
      <c r="D741" t="s">
        <v>682</v>
      </c>
      <c r="E741" t="s">
        <v>719</v>
      </c>
      <c r="G741" t="s">
        <v>218</v>
      </c>
      <c r="I741">
        <v>2200000096</v>
      </c>
      <c r="P741" t="s">
        <v>73</v>
      </c>
      <c r="Q741">
        <v>50</v>
      </c>
    </row>
    <row r="742" spans="3:17">
      <c r="C742" t="s">
        <v>417</v>
      </c>
      <c r="D742" t="s">
        <v>682</v>
      </c>
      <c r="E742" t="s">
        <v>719</v>
      </c>
      <c r="G742" t="s">
        <v>218</v>
      </c>
      <c r="I742">
        <v>2200000099</v>
      </c>
      <c r="P742" t="s">
        <v>73</v>
      </c>
      <c r="Q742">
        <v>50</v>
      </c>
    </row>
    <row r="743" spans="3:17">
      <c r="C743" t="s">
        <v>417</v>
      </c>
      <c r="D743" t="s">
        <v>682</v>
      </c>
      <c r="E743" t="s">
        <v>719</v>
      </c>
      <c r="G743" t="s">
        <v>218</v>
      </c>
      <c r="I743">
        <v>2200000100</v>
      </c>
      <c r="P743" t="s">
        <v>73</v>
      </c>
      <c r="Q743">
        <v>50</v>
      </c>
    </row>
    <row r="744" spans="3:17">
      <c r="C744" t="s">
        <v>417</v>
      </c>
      <c r="D744" t="s">
        <v>682</v>
      </c>
      <c r="E744" t="s">
        <v>719</v>
      </c>
      <c r="G744" t="s">
        <v>352</v>
      </c>
      <c r="I744">
        <v>2200000139</v>
      </c>
      <c r="P744" t="s">
        <v>73</v>
      </c>
      <c r="Q744">
        <v>184</v>
      </c>
    </row>
    <row r="745" spans="3:17">
      <c r="C745" t="s">
        <v>417</v>
      </c>
      <c r="D745" t="s">
        <v>682</v>
      </c>
      <c r="E745" t="s">
        <v>719</v>
      </c>
      <c r="G745" t="s">
        <v>218</v>
      </c>
      <c r="I745">
        <v>2200000121</v>
      </c>
      <c r="P745" t="s">
        <v>662</v>
      </c>
      <c r="Q745" t="s">
        <v>741</v>
      </c>
    </row>
    <row r="746" spans="3:17">
      <c r="C746" t="s">
        <v>417</v>
      </c>
      <c r="D746" t="s">
        <v>682</v>
      </c>
      <c r="E746" t="s">
        <v>719</v>
      </c>
      <c r="G746" t="s">
        <v>353</v>
      </c>
      <c r="I746">
        <v>2200000238</v>
      </c>
      <c r="P746" t="s">
        <v>73</v>
      </c>
      <c r="Q746">
        <v>102</v>
      </c>
    </row>
    <row r="747" spans="3:17">
      <c r="C747" t="s">
        <v>417</v>
      </c>
      <c r="D747" t="s">
        <v>682</v>
      </c>
      <c r="E747" t="s">
        <v>688</v>
      </c>
      <c r="G747" t="s">
        <v>690</v>
      </c>
      <c r="I747">
        <v>2200000920</v>
      </c>
      <c r="P747" t="s">
        <v>73</v>
      </c>
      <c r="Q747">
        <v>62.7</v>
      </c>
    </row>
    <row r="748" spans="3:17">
      <c r="C748" t="s">
        <v>525</v>
      </c>
      <c r="D748" t="s">
        <v>526</v>
      </c>
      <c r="E748" t="s">
        <v>742</v>
      </c>
      <c r="G748" t="s">
        <v>538</v>
      </c>
      <c r="I748">
        <v>230700018</v>
      </c>
      <c r="P748" t="s">
        <v>73</v>
      </c>
      <c r="Q748">
        <v>53</v>
      </c>
    </row>
    <row r="749" spans="3:17">
      <c r="C749" t="s">
        <v>525</v>
      </c>
      <c r="D749" t="s">
        <v>526</v>
      </c>
      <c r="E749" t="s">
        <v>742</v>
      </c>
      <c r="G749" t="s">
        <v>175</v>
      </c>
      <c r="I749">
        <v>2200000190</v>
      </c>
      <c r="P749" t="s">
        <v>73</v>
      </c>
      <c r="Q749">
        <v>100</v>
      </c>
    </row>
    <row r="750" spans="3:17">
      <c r="C750" t="s">
        <v>417</v>
      </c>
      <c r="D750" t="s">
        <v>682</v>
      </c>
      <c r="E750" t="s">
        <v>725</v>
      </c>
      <c r="G750" t="s">
        <v>353</v>
      </c>
      <c r="I750">
        <v>2200000237</v>
      </c>
      <c r="P750" t="s">
        <v>73</v>
      </c>
      <c r="Q750">
        <v>102</v>
      </c>
    </row>
    <row r="751" spans="3:17">
      <c r="C751" t="s">
        <v>417</v>
      </c>
      <c r="D751" t="s">
        <v>682</v>
      </c>
      <c r="E751" t="s">
        <v>725</v>
      </c>
      <c r="G751" t="s">
        <v>387</v>
      </c>
      <c r="I751">
        <v>2200000243</v>
      </c>
      <c r="P751" t="s">
        <v>73</v>
      </c>
      <c r="Q751">
        <v>288</v>
      </c>
    </row>
    <row r="752" spans="3:17">
      <c r="C752" t="s">
        <v>417</v>
      </c>
      <c r="D752" t="s">
        <v>682</v>
      </c>
      <c r="E752" t="s">
        <v>725</v>
      </c>
      <c r="G752" t="s">
        <v>520</v>
      </c>
      <c r="I752">
        <v>2200000262</v>
      </c>
      <c r="P752" t="s">
        <v>73</v>
      </c>
      <c r="Q752">
        <v>400</v>
      </c>
    </row>
    <row r="753" spans="3:17">
      <c r="C753" t="s">
        <v>417</v>
      </c>
      <c r="D753" t="s">
        <v>682</v>
      </c>
      <c r="E753" t="s">
        <v>725</v>
      </c>
      <c r="G753" t="s">
        <v>520</v>
      </c>
      <c r="I753">
        <v>2200000402</v>
      </c>
      <c r="P753" t="s">
        <v>73</v>
      </c>
      <c r="Q753">
        <v>300</v>
      </c>
    </row>
    <row r="754" spans="3:17">
      <c r="C754" t="s">
        <v>417</v>
      </c>
      <c r="D754" t="s">
        <v>682</v>
      </c>
      <c r="E754" t="s">
        <v>725</v>
      </c>
      <c r="G754" t="s">
        <v>743</v>
      </c>
      <c r="I754">
        <v>2200000472</v>
      </c>
      <c r="P754" t="s">
        <v>73</v>
      </c>
      <c r="Q754">
        <v>300</v>
      </c>
    </row>
    <row r="755" spans="3:17">
      <c r="C755" t="s">
        <v>417</v>
      </c>
      <c r="D755" t="s">
        <v>682</v>
      </c>
      <c r="E755" t="s">
        <v>725</v>
      </c>
      <c r="G755" t="s">
        <v>744</v>
      </c>
      <c r="I755">
        <v>2200000504</v>
      </c>
      <c r="P755" t="s">
        <v>73</v>
      </c>
      <c r="Q755">
        <v>100</v>
      </c>
    </row>
    <row r="756" spans="3:17">
      <c r="C756" t="s">
        <v>525</v>
      </c>
      <c r="D756" t="s">
        <v>656</v>
      </c>
      <c r="E756" t="s">
        <v>629</v>
      </c>
      <c r="G756" t="s">
        <v>630</v>
      </c>
      <c r="I756">
        <v>231400018</v>
      </c>
      <c r="P756" t="s">
        <v>73</v>
      </c>
      <c r="Q756">
        <v>277</v>
      </c>
    </row>
    <row r="757" spans="3:17">
      <c r="C757" t="s">
        <v>525</v>
      </c>
      <c r="D757" t="s">
        <v>656</v>
      </c>
      <c r="E757" t="s">
        <v>629</v>
      </c>
      <c r="G757" t="s">
        <v>630</v>
      </c>
      <c r="I757">
        <v>331400012</v>
      </c>
      <c r="P757" t="s">
        <v>73</v>
      </c>
      <c r="Q757">
        <v>23</v>
      </c>
    </row>
    <row r="758" spans="3:17">
      <c r="C758" t="s">
        <v>525</v>
      </c>
      <c r="D758" t="s">
        <v>591</v>
      </c>
      <c r="E758" t="s">
        <v>605</v>
      </c>
      <c r="G758" t="s">
        <v>169</v>
      </c>
      <c r="I758">
        <v>2200000709</v>
      </c>
      <c r="P758" t="s">
        <v>72</v>
      </c>
      <c r="Q758">
        <v>300</v>
      </c>
    </row>
    <row r="759" spans="3:17">
      <c r="C759" t="s">
        <v>417</v>
      </c>
      <c r="D759" t="s">
        <v>682</v>
      </c>
      <c r="E759" t="s">
        <v>725</v>
      </c>
      <c r="G759" t="s">
        <v>623</v>
      </c>
      <c r="I759">
        <v>2200000474</v>
      </c>
      <c r="P759" t="s">
        <v>73</v>
      </c>
      <c r="Q759">
        <v>125.4</v>
      </c>
    </row>
    <row r="760" spans="3:17">
      <c r="C760" t="s">
        <v>525</v>
      </c>
      <c r="D760" t="s">
        <v>591</v>
      </c>
      <c r="E760" t="s">
        <v>745</v>
      </c>
      <c r="G760" t="s">
        <v>746</v>
      </c>
      <c r="I760">
        <v>2200000086</v>
      </c>
      <c r="P760" t="s">
        <v>662</v>
      </c>
      <c r="Q760">
        <v>100</v>
      </c>
    </row>
    <row r="761" spans="3:17">
      <c r="C761" t="s">
        <v>525</v>
      </c>
      <c r="D761" t="s">
        <v>591</v>
      </c>
      <c r="E761" t="s">
        <v>745</v>
      </c>
      <c r="G761" t="s">
        <v>747</v>
      </c>
      <c r="I761">
        <v>2200000342</v>
      </c>
      <c r="P761" t="s">
        <v>662</v>
      </c>
      <c r="Q761">
        <v>81</v>
      </c>
    </row>
    <row r="762" spans="3:17">
      <c r="C762" t="s">
        <v>525</v>
      </c>
      <c r="D762" t="s">
        <v>591</v>
      </c>
      <c r="E762" t="s">
        <v>745</v>
      </c>
      <c r="G762" t="s">
        <v>610</v>
      </c>
      <c r="I762">
        <v>2200000404</v>
      </c>
      <c r="P762" t="s">
        <v>748</v>
      </c>
      <c r="Q762" t="s">
        <v>749</v>
      </c>
    </row>
    <row r="763" spans="3:17">
      <c r="C763" t="s">
        <v>417</v>
      </c>
      <c r="D763" t="s">
        <v>682</v>
      </c>
      <c r="E763" t="s">
        <v>719</v>
      </c>
      <c r="G763" t="s">
        <v>723</v>
      </c>
      <c r="I763">
        <v>2200000092</v>
      </c>
      <c r="P763" t="s">
        <v>724</v>
      </c>
      <c r="Q763">
        <v>260</v>
      </c>
    </row>
    <row r="764" spans="3:17">
      <c r="C764" t="s">
        <v>68</v>
      </c>
      <c r="D764" t="s">
        <v>69</v>
      </c>
      <c r="E764" t="s">
        <v>191</v>
      </c>
      <c r="G764" t="s">
        <v>208</v>
      </c>
      <c r="I764" t="s">
        <v>210</v>
      </c>
      <c r="P764" t="s">
        <v>72</v>
      </c>
      <c r="Q764">
        <v>100</v>
      </c>
    </row>
    <row r="765" spans="3:17">
      <c r="C765" t="s">
        <v>68</v>
      </c>
      <c r="D765" t="s">
        <v>69</v>
      </c>
      <c r="E765" t="s">
        <v>191</v>
      </c>
      <c r="G765" t="s">
        <v>211</v>
      </c>
      <c r="I765">
        <v>1200002554</v>
      </c>
      <c r="P765" t="s">
        <v>72</v>
      </c>
      <c r="Q765">
        <v>300</v>
      </c>
    </row>
    <row r="766" spans="3:17">
      <c r="C766" t="s">
        <v>68</v>
      </c>
      <c r="D766" t="s">
        <v>69</v>
      </c>
      <c r="E766" t="s">
        <v>191</v>
      </c>
      <c r="G766" t="s">
        <v>212</v>
      </c>
      <c r="I766">
        <v>1200002742</v>
      </c>
      <c r="P766" t="s">
        <v>72</v>
      </c>
      <c r="Q766">
        <v>300</v>
      </c>
    </row>
    <row r="767" spans="3:17">
      <c r="C767" t="s">
        <v>68</v>
      </c>
      <c r="D767" t="s">
        <v>69</v>
      </c>
      <c r="E767" t="s">
        <v>191</v>
      </c>
      <c r="G767" t="s">
        <v>213</v>
      </c>
      <c r="I767">
        <v>1200002559</v>
      </c>
      <c r="P767" t="s">
        <v>72</v>
      </c>
      <c r="Q767">
        <v>100</v>
      </c>
    </row>
    <row r="768" spans="3:17">
      <c r="C768" t="s">
        <v>68</v>
      </c>
      <c r="D768" t="s">
        <v>69</v>
      </c>
      <c r="E768" t="s">
        <v>215</v>
      </c>
      <c r="G768" t="s">
        <v>750</v>
      </c>
      <c r="I768" t="s">
        <v>751</v>
      </c>
      <c r="P768" t="s">
        <v>72</v>
      </c>
      <c r="Q768">
        <v>400</v>
      </c>
    </row>
    <row r="769" spans="3:17">
      <c r="C769" t="s">
        <v>68</v>
      </c>
      <c r="D769" t="s">
        <v>69</v>
      </c>
      <c r="E769" t="s">
        <v>215</v>
      </c>
      <c r="G769" t="s">
        <v>225</v>
      </c>
      <c r="I769" t="s">
        <v>752</v>
      </c>
      <c r="P769" t="s">
        <v>72</v>
      </c>
      <c r="Q769">
        <v>150</v>
      </c>
    </row>
    <row r="770" spans="3:17">
      <c r="C770" t="s">
        <v>68</v>
      </c>
      <c r="D770" t="s">
        <v>69</v>
      </c>
      <c r="E770" t="s">
        <v>215</v>
      </c>
      <c r="G770" t="s">
        <v>225</v>
      </c>
      <c r="I770" t="s">
        <v>753</v>
      </c>
      <c r="P770" t="s">
        <v>72</v>
      </c>
      <c r="Q770">
        <v>100</v>
      </c>
    </row>
    <row r="771" spans="3:17">
      <c r="C771" t="s">
        <v>68</v>
      </c>
      <c r="D771" t="s">
        <v>69</v>
      </c>
      <c r="E771" t="s">
        <v>215</v>
      </c>
      <c r="G771" t="s">
        <v>227</v>
      </c>
      <c r="I771" t="s">
        <v>754</v>
      </c>
      <c r="P771" t="s">
        <v>72</v>
      </c>
      <c r="Q771">
        <v>300</v>
      </c>
    </row>
    <row r="772" spans="3:17">
      <c r="C772" t="s">
        <v>68</v>
      </c>
      <c r="D772" t="s">
        <v>69</v>
      </c>
      <c r="E772" t="s">
        <v>215</v>
      </c>
      <c r="G772" t="s">
        <v>229</v>
      </c>
      <c r="I772" t="s">
        <v>755</v>
      </c>
      <c r="P772" t="s">
        <v>72</v>
      </c>
      <c r="Q772">
        <v>50</v>
      </c>
    </row>
    <row r="773" spans="3:17">
      <c r="C773" t="s">
        <v>417</v>
      </c>
      <c r="D773" t="s">
        <v>682</v>
      </c>
      <c r="E773" t="s">
        <v>756</v>
      </c>
      <c r="G773" t="s">
        <v>478</v>
      </c>
      <c r="I773">
        <v>2200000716</v>
      </c>
      <c r="P773" t="s">
        <v>662</v>
      </c>
      <c r="Q773" t="s">
        <v>479</v>
      </c>
    </row>
    <row r="774" spans="3:17">
      <c r="C774" t="s">
        <v>417</v>
      </c>
      <c r="D774" t="s">
        <v>661</v>
      </c>
      <c r="E774" t="s">
        <v>516</v>
      </c>
      <c r="G774" t="s">
        <v>283</v>
      </c>
      <c r="I774">
        <v>2200000441</v>
      </c>
      <c r="P774" t="s">
        <v>73</v>
      </c>
      <c r="Q774">
        <v>100</v>
      </c>
    </row>
    <row r="775" spans="3:17">
      <c r="C775" t="s">
        <v>417</v>
      </c>
      <c r="D775" t="s">
        <v>661</v>
      </c>
      <c r="E775" t="s">
        <v>516</v>
      </c>
      <c r="G775" t="s">
        <v>521</v>
      </c>
      <c r="I775">
        <v>2200000628</v>
      </c>
      <c r="P775" t="s">
        <v>73</v>
      </c>
      <c r="Q775">
        <v>93</v>
      </c>
    </row>
    <row r="776" spans="3:17">
      <c r="C776" t="s">
        <v>68</v>
      </c>
      <c r="D776" t="s">
        <v>69</v>
      </c>
      <c r="E776" t="s">
        <v>385</v>
      </c>
      <c r="G776" t="s">
        <v>389</v>
      </c>
      <c r="I776" t="s">
        <v>390</v>
      </c>
      <c r="J776">
        <v>1200003689</v>
      </c>
      <c r="P776" t="s">
        <v>72</v>
      </c>
      <c r="Q776">
        <v>500</v>
      </c>
    </row>
    <row r="777" spans="3:17">
      <c r="C777" t="s">
        <v>525</v>
      </c>
      <c r="D777" t="s">
        <v>656</v>
      </c>
      <c r="E777" t="s">
        <v>621</v>
      </c>
      <c r="G777" t="s">
        <v>387</v>
      </c>
      <c r="I777">
        <v>2200000395</v>
      </c>
      <c r="P777" t="s">
        <v>73</v>
      </c>
      <c r="Q777">
        <v>101</v>
      </c>
    </row>
    <row r="778" spans="3:17">
      <c r="C778" t="s">
        <v>525</v>
      </c>
      <c r="D778" t="s">
        <v>656</v>
      </c>
      <c r="E778" t="s">
        <v>621</v>
      </c>
      <c r="G778" t="s">
        <v>387</v>
      </c>
      <c r="I778">
        <v>2200000450</v>
      </c>
      <c r="P778" t="s">
        <v>73</v>
      </c>
      <c r="Q778">
        <v>100.8</v>
      </c>
    </row>
    <row r="779" spans="3:17">
      <c r="C779" t="s">
        <v>417</v>
      </c>
      <c r="D779" t="s">
        <v>661</v>
      </c>
      <c r="E779" t="s">
        <v>516</v>
      </c>
      <c r="G779" t="s">
        <v>387</v>
      </c>
      <c r="I779">
        <v>2200000448</v>
      </c>
      <c r="P779" t="s">
        <v>73</v>
      </c>
      <c r="Q779">
        <v>93.6</v>
      </c>
    </row>
    <row r="780" spans="3:17">
      <c r="C780" t="s">
        <v>417</v>
      </c>
      <c r="D780" t="s">
        <v>661</v>
      </c>
      <c r="E780" t="s">
        <v>522</v>
      </c>
      <c r="G780" t="s">
        <v>387</v>
      </c>
      <c r="I780">
        <v>2200000394</v>
      </c>
      <c r="P780" t="s">
        <v>73</v>
      </c>
      <c r="Q780">
        <v>151</v>
      </c>
    </row>
    <row r="781" spans="3:17">
      <c r="C781" t="s">
        <v>417</v>
      </c>
      <c r="D781" t="s">
        <v>661</v>
      </c>
      <c r="E781" t="s">
        <v>522</v>
      </c>
      <c r="G781" t="s">
        <v>387</v>
      </c>
      <c r="I781">
        <v>2200000449</v>
      </c>
      <c r="P781" t="s">
        <v>73</v>
      </c>
      <c r="Q781">
        <v>151.19999999999999</v>
      </c>
    </row>
    <row r="782" spans="3:17">
      <c r="C782" t="s">
        <v>417</v>
      </c>
      <c r="D782" t="s">
        <v>682</v>
      </c>
      <c r="E782" t="s">
        <v>725</v>
      </c>
      <c r="G782" t="s">
        <v>387</v>
      </c>
      <c r="I782">
        <v>2200000390</v>
      </c>
      <c r="P782" t="s">
        <v>72</v>
      </c>
      <c r="Q782" t="s">
        <v>757</v>
      </c>
    </row>
    <row r="783" spans="3:17">
      <c r="C783" t="s">
        <v>525</v>
      </c>
      <c r="D783" t="s">
        <v>656</v>
      </c>
      <c r="E783" t="s">
        <v>758</v>
      </c>
      <c r="G783" t="s">
        <v>639</v>
      </c>
      <c r="I783">
        <v>2200000270</v>
      </c>
      <c r="P783" t="s">
        <v>73</v>
      </c>
      <c r="Q783">
        <v>52.8</v>
      </c>
    </row>
    <row r="784" spans="3:17">
      <c r="C784" t="s">
        <v>525</v>
      </c>
      <c r="D784" t="s">
        <v>656</v>
      </c>
      <c r="E784" t="s">
        <v>758</v>
      </c>
      <c r="G784" t="s">
        <v>639</v>
      </c>
      <c r="I784">
        <v>2200000409</v>
      </c>
      <c r="P784" t="s">
        <v>73</v>
      </c>
      <c r="Q784">
        <v>47.2</v>
      </c>
    </row>
    <row r="785" spans="3:17">
      <c r="C785" t="s">
        <v>525</v>
      </c>
      <c r="D785" t="s">
        <v>591</v>
      </c>
      <c r="E785" t="s">
        <v>759</v>
      </c>
      <c r="G785" t="s">
        <v>612</v>
      </c>
      <c r="I785">
        <v>2200000356</v>
      </c>
      <c r="P785" t="s">
        <v>73</v>
      </c>
      <c r="Q785">
        <v>76.8</v>
      </c>
    </row>
    <row r="786" spans="3:17">
      <c r="C786" t="s">
        <v>417</v>
      </c>
      <c r="D786" t="s">
        <v>760</v>
      </c>
      <c r="E786" t="s">
        <v>668</v>
      </c>
      <c r="G786" t="s">
        <v>421</v>
      </c>
      <c r="I786">
        <v>2200000032</v>
      </c>
      <c r="P786" t="s">
        <v>662</v>
      </c>
      <c r="Q786" t="s">
        <v>429</v>
      </c>
    </row>
    <row r="787" spans="3:17">
      <c r="C787" t="s">
        <v>417</v>
      </c>
      <c r="D787" t="s">
        <v>760</v>
      </c>
      <c r="E787" t="s">
        <v>668</v>
      </c>
      <c r="G787" t="s">
        <v>431</v>
      </c>
      <c r="I787">
        <v>2200000271</v>
      </c>
      <c r="P787" t="s">
        <v>73</v>
      </c>
      <c r="Q787">
        <v>250</v>
      </c>
    </row>
    <row r="788" spans="3:17">
      <c r="C788" t="s">
        <v>417</v>
      </c>
      <c r="D788" t="s">
        <v>760</v>
      </c>
      <c r="E788" t="s">
        <v>668</v>
      </c>
      <c r="G788" t="s">
        <v>425</v>
      </c>
      <c r="I788">
        <v>2200000273</v>
      </c>
      <c r="P788" t="s">
        <v>73</v>
      </c>
      <c r="Q788">
        <v>250</v>
      </c>
    </row>
    <row r="789" spans="3:17">
      <c r="C789" t="s">
        <v>68</v>
      </c>
      <c r="D789" t="s">
        <v>69</v>
      </c>
      <c r="E789" t="s">
        <v>315</v>
      </c>
      <c r="G789" t="s">
        <v>316</v>
      </c>
      <c r="I789">
        <v>212100040</v>
      </c>
      <c r="P789" t="s">
        <v>317</v>
      </c>
      <c r="Q789">
        <v>250</v>
      </c>
    </row>
    <row r="790" spans="3:17">
      <c r="C790" t="s">
        <v>68</v>
      </c>
      <c r="D790" t="s">
        <v>69</v>
      </c>
      <c r="E790" t="s">
        <v>735</v>
      </c>
      <c r="G790" t="s">
        <v>361</v>
      </c>
      <c r="I790" t="s">
        <v>761</v>
      </c>
      <c r="P790" t="s">
        <v>662</v>
      </c>
      <c r="Q790">
        <v>150</v>
      </c>
    </row>
    <row r="791" spans="3:17">
      <c r="C791" t="s">
        <v>525</v>
      </c>
      <c r="D791" t="s">
        <v>591</v>
      </c>
      <c r="E791" t="s">
        <v>592</v>
      </c>
      <c r="G791" t="s">
        <v>594</v>
      </c>
      <c r="I791">
        <v>2200000298</v>
      </c>
      <c r="P791" t="s">
        <v>73</v>
      </c>
      <c r="Q791">
        <v>300</v>
      </c>
    </row>
    <row r="792" spans="3:17">
      <c r="C792" t="s">
        <v>525</v>
      </c>
      <c r="D792" t="s">
        <v>656</v>
      </c>
      <c r="E792" t="s">
        <v>633</v>
      </c>
      <c r="G792" t="s">
        <v>636</v>
      </c>
      <c r="I792">
        <v>2200001148</v>
      </c>
      <c r="P792" t="s">
        <v>72</v>
      </c>
      <c r="Q792">
        <v>300</v>
      </c>
    </row>
    <row r="793" spans="3:17">
      <c r="C793" t="s">
        <v>525</v>
      </c>
      <c r="D793" t="s">
        <v>656</v>
      </c>
      <c r="E793" t="s">
        <v>633</v>
      </c>
      <c r="G793" t="s">
        <v>637</v>
      </c>
      <c r="I793">
        <v>2200001158</v>
      </c>
      <c r="P793" t="s">
        <v>72</v>
      </c>
      <c r="Q793">
        <v>1000</v>
      </c>
    </row>
    <row r="794" spans="3:17">
      <c r="C794" t="s">
        <v>525</v>
      </c>
      <c r="D794" t="s">
        <v>656</v>
      </c>
      <c r="E794" t="s">
        <v>638</v>
      </c>
      <c r="G794" t="s">
        <v>762</v>
      </c>
      <c r="I794">
        <v>231400016</v>
      </c>
      <c r="P794" t="s">
        <v>73</v>
      </c>
      <c r="Q794">
        <v>200</v>
      </c>
    </row>
    <row r="795" spans="3:17">
      <c r="C795" t="s">
        <v>525</v>
      </c>
      <c r="D795" t="s">
        <v>656</v>
      </c>
      <c r="E795" t="s">
        <v>758</v>
      </c>
      <c r="G795" t="s">
        <v>394</v>
      </c>
      <c r="I795">
        <v>2200000718</v>
      </c>
      <c r="P795" t="s">
        <v>73</v>
      </c>
      <c r="Q795">
        <v>300</v>
      </c>
    </row>
    <row r="796" spans="3:17">
      <c r="C796" t="s">
        <v>525</v>
      </c>
      <c r="D796" t="s">
        <v>656</v>
      </c>
      <c r="E796" t="s">
        <v>758</v>
      </c>
      <c r="G796" t="s">
        <v>640</v>
      </c>
      <c r="I796">
        <v>2200000440</v>
      </c>
      <c r="P796" t="s">
        <v>763</v>
      </c>
      <c r="Q796" t="s">
        <v>764</v>
      </c>
    </row>
    <row r="797" spans="3:17">
      <c r="C797" t="s">
        <v>525</v>
      </c>
      <c r="D797" t="s">
        <v>656</v>
      </c>
      <c r="E797" t="s">
        <v>758</v>
      </c>
      <c r="G797" t="s">
        <v>765</v>
      </c>
      <c r="I797">
        <v>2200001047</v>
      </c>
      <c r="P797" t="s">
        <v>662</v>
      </c>
      <c r="Q797">
        <v>247.4</v>
      </c>
    </row>
    <row r="798" spans="3:17">
      <c r="C798" t="s">
        <v>525</v>
      </c>
      <c r="D798" t="s">
        <v>526</v>
      </c>
      <c r="E798" t="s">
        <v>527</v>
      </c>
      <c r="G798" t="s">
        <v>181</v>
      </c>
      <c r="I798">
        <v>2200000566</v>
      </c>
      <c r="P798" t="s">
        <v>73</v>
      </c>
      <c r="Q798">
        <v>20</v>
      </c>
    </row>
    <row r="799" spans="3:17">
      <c r="C799" t="s">
        <v>417</v>
      </c>
      <c r="D799" t="s">
        <v>682</v>
      </c>
      <c r="E799" t="s">
        <v>756</v>
      </c>
      <c r="G799" t="s">
        <v>460</v>
      </c>
      <c r="I799">
        <v>2200000759</v>
      </c>
      <c r="P799" t="s">
        <v>72</v>
      </c>
      <c r="Q799">
        <v>300</v>
      </c>
    </row>
    <row r="800" spans="3:17">
      <c r="C800" t="s">
        <v>525</v>
      </c>
      <c r="D800" t="s">
        <v>526</v>
      </c>
      <c r="E800" t="s">
        <v>572</v>
      </c>
      <c r="G800" t="s">
        <v>581</v>
      </c>
      <c r="I800">
        <v>2200000311</v>
      </c>
      <c r="P800" t="s">
        <v>662</v>
      </c>
      <c r="Q800" t="s">
        <v>766</v>
      </c>
    </row>
    <row r="801" spans="3:17">
      <c r="C801" t="s">
        <v>525</v>
      </c>
      <c r="D801" t="s">
        <v>591</v>
      </c>
      <c r="E801" t="s">
        <v>745</v>
      </c>
      <c r="G801" t="s">
        <v>169</v>
      </c>
      <c r="I801">
        <v>2200000502</v>
      </c>
      <c r="P801" t="s">
        <v>72</v>
      </c>
      <c r="Q801">
        <v>400</v>
      </c>
    </row>
    <row r="802" spans="3:17">
      <c r="C802" t="s">
        <v>417</v>
      </c>
      <c r="D802" t="s">
        <v>661</v>
      </c>
      <c r="E802" t="s">
        <v>716</v>
      </c>
      <c r="G802" t="s">
        <v>524</v>
      </c>
      <c r="I802">
        <v>2200000594</v>
      </c>
      <c r="P802" t="s">
        <v>72</v>
      </c>
      <c r="Q802">
        <v>150</v>
      </c>
    </row>
    <row r="803" spans="3:17">
      <c r="C803" t="s">
        <v>417</v>
      </c>
      <c r="D803" t="s">
        <v>682</v>
      </c>
      <c r="E803" t="s">
        <v>711</v>
      </c>
      <c r="G803" t="s">
        <v>767</v>
      </c>
      <c r="I803">
        <v>2200000310</v>
      </c>
      <c r="P803" t="s">
        <v>73</v>
      </c>
      <c r="Q803">
        <v>250</v>
      </c>
    </row>
    <row r="804" spans="3:17">
      <c r="C804" t="s">
        <v>417</v>
      </c>
      <c r="D804" t="s">
        <v>682</v>
      </c>
      <c r="E804" t="s">
        <v>711</v>
      </c>
      <c r="G804" t="s">
        <v>768</v>
      </c>
      <c r="I804">
        <v>2200000339</v>
      </c>
      <c r="P804" t="s">
        <v>72</v>
      </c>
      <c r="Q804">
        <v>300</v>
      </c>
    </row>
    <row r="805" spans="3:17">
      <c r="C805" t="s">
        <v>417</v>
      </c>
      <c r="D805" t="s">
        <v>769</v>
      </c>
      <c r="E805" t="s">
        <v>668</v>
      </c>
      <c r="G805" t="s">
        <v>169</v>
      </c>
      <c r="I805">
        <v>2200000069</v>
      </c>
      <c r="P805" t="s">
        <v>73</v>
      </c>
      <c r="Q805">
        <v>400</v>
      </c>
    </row>
    <row r="806" spans="3:17">
      <c r="C806" t="s">
        <v>525</v>
      </c>
      <c r="D806" t="s">
        <v>656</v>
      </c>
      <c r="E806" t="s">
        <v>758</v>
      </c>
      <c r="G806" t="s">
        <v>642</v>
      </c>
      <c r="I806">
        <v>2200000754</v>
      </c>
      <c r="P806" t="s">
        <v>72</v>
      </c>
      <c r="Q806">
        <v>200</v>
      </c>
    </row>
    <row r="807" spans="3:17">
      <c r="C807" t="s">
        <v>417</v>
      </c>
      <c r="D807" t="s">
        <v>770</v>
      </c>
      <c r="E807" t="s">
        <v>668</v>
      </c>
      <c r="G807" t="s">
        <v>433</v>
      </c>
      <c r="I807">
        <v>2200000274</v>
      </c>
      <c r="P807" t="s">
        <v>73</v>
      </c>
      <c r="Q807">
        <v>250</v>
      </c>
    </row>
    <row r="808" spans="3:17">
      <c r="C808" t="s">
        <v>417</v>
      </c>
      <c r="D808" t="s">
        <v>770</v>
      </c>
      <c r="E808" t="s">
        <v>668</v>
      </c>
      <c r="G808" t="s">
        <v>435</v>
      </c>
      <c r="I808">
        <v>2200000276</v>
      </c>
      <c r="P808" t="s">
        <v>73</v>
      </c>
      <c r="Q808">
        <v>250</v>
      </c>
    </row>
    <row r="809" spans="3:17">
      <c r="C809" t="s">
        <v>68</v>
      </c>
      <c r="D809" t="s">
        <v>69</v>
      </c>
      <c r="E809" t="s">
        <v>215</v>
      </c>
      <c r="G809" t="s">
        <v>231</v>
      </c>
      <c r="I809">
        <v>1200003848</v>
      </c>
      <c r="P809" t="s">
        <v>72</v>
      </c>
      <c r="Q809">
        <v>550</v>
      </c>
    </row>
    <row r="810" spans="3:17">
      <c r="C810" t="s">
        <v>68</v>
      </c>
      <c r="D810" t="s">
        <v>69</v>
      </c>
      <c r="E810" t="s">
        <v>215</v>
      </c>
      <c r="G810" t="s">
        <v>231</v>
      </c>
      <c r="I810" t="s">
        <v>232</v>
      </c>
      <c r="P810" t="s">
        <v>72</v>
      </c>
      <c r="Q810">
        <v>450</v>
      </c>
    </row>
    <row r="811" spans="3:17">
      <c r="C811" t="s">
        <v>68</v>
      </c>
      <c r="D811" t="s">
        <v>69</v>
      </c>
      <c r="E811" t="s">
        <v>735</v>
      </c>
      <c r="G811" t="s">
        <v>771</v>
      </c>
      <c r="I811" t="s">
        <v>772</v>
      </c>
      <c r="J811">
        <v>412100011</v>
      </c>
      <c r="P811" t="s">
        <v>72</v>
      </c>
      <c r="Q811">
        <v>65</v>
      </c>
    </row>
    <row r="812" spans="3:17">
      <c r="C812" t="s">
        <v>525</v>
      </c>
      <c r="D812" t="s">
        <v>526</v>
      </c>
      <c r="E812" t="s">
        <v>742</v>
      </c>
      <c r="G812" t="s">
        <v>175</v>
      </c>
      <c r="I812">
        <v>2200000209</v>
      </c>
      <c r="P812" t="s">
        <v>73</v>
      </c>
      <c r="Q812">
        <v>200</v>
      </c>
    </row>
    <row r="813" spans="3:17">
      <c r="C813" t="s">
        <v>525</v>
      </c>
      <c r="D813" t="s">
        <v>526</v>
      </c>
      <c r="E813" t="s">
        <v>546</v>
      </c>
      <c r="G813" t="s">
        <v>773</v>
      </c>
      <c r="I813">
        <v>1200002678</v>
      </c>
      <c r="P813" t="s">
        <v>72</v>
      </c>
      <c r="Q813">
        <v>1083</v>
      </c>
    </row>
    <row r="814" spans="3:17">
      <c r="C814" t="s">
        <v>525</v>
      </c>
      <c r="D814" t="s">
        <v>526</v>
      </c>
      <c r="E814" t="s">
        <v>546</v>
      </c>
      <c r="G814" t="s">
        <v>773</v>
      </c>
      <c r="I814">
        <v>1200002679</v>
      </c>
      <c r="P814" t="s">
        <v>72</v>
      </c>
      <c r="Q814">
        <v>1000</v>
      </c>
    </row>
    <row r="815" spans="3:17">
      <c r="C815" t="s">
        <v>525</v>
      </c>
      <c r="D815" t="s">
        <v>526</v>
      </c>
      <c r="E815" t="s">
        <v>546</v>
      </c>
      <c r="G815" t="s">
        <v>548</v>
      </c>
      <c r="I815">
        <v>1670426092248</v>
      </c>
      <c r="P815" t="s">
        <v>662</v>
      </c>
      <c r="Q815">
        <v>1050</v>
      </c>
    </row>
    <row r="816" spans="3:17">
      <c r="C816" t="s">
        <v>525</v>
      </c>
      <c r="D816" t="s">
        <v>526</v>
      </c>
      <c r="E816" t="s">
        <v>549</v>
      </c>
      <c r="G816" t="s">
        <v>552</v>
      </c>
      <c r="I816" t="s">
        <v>774</v>
      </c>
      <c r="P816" t="s">
        <v>73</v>
      </c>
      <c r="Q816">
        <v>250</v>
      </c>
    </row>
    <row r="817" spans="3:17">
      <c r="C817" t="s">
        <v>525</v>
      </c>
      <c r="D817" t="s">
        <v>526</v>
      </c>
      <c r="E817" t="s">
        <v>549</v>
      </c>
      <c r="G817" t="s">
        <v>554</v>
      </c>
      <c r="I817">
        <v>230700011</v>
      </c>
      <c r="P817" t="s">
        <v>662</v>
      </c>
      <c r="Q817">
        <v>1150</v>
      </c>
    </row>
    <row r="818" spans="3:17">
      <c r="C818" t="s">
        <v>525</v>
      </c>
      <c r="D818" t="s">
        <v>526</v>
      </c>
      <c r="E818" t="s">
        <v>567</v>
      </c>
      <c r="G818" t="s">
        <v>554</v>
      </c>
      <c r="I818">
        <v>230700012</v>
      </c>
      <c r="P818" t="s">
        <v>662</v>
      </c>
      <c r="Q818">
        <v>1332</v>
      </c>
    </row>
    <row r="819" spans="3:17">
      <c r="C819" t="s">
        <v>417</v>
      </c>
      <c r="D819" t="s">
        <v>770</v>
      </c>
      <c r="E819" t="s">
        <v>444</v>
      </c>
      <c r="G819" t="s">
        <v>450</v>
      </c>
      <c r="I819">
        <v>2200000383</v>
      </c>
      <c r="P819" t="s">
        <v>662</v>
      </c>
      <c r="Q819" t="s">
        <v>451</v>
      </c>
    </row>
    <row r="820" spans="3:17">
      <c r="C820" t="s">
        <v>525</v>
      </c>
      <c r="D820" t="s">
        <v>526</v>
      </c>
      <c r="E820" t="s">
        <v>572</v>
      </c>
      <c r="G820" t="s">
        <v>218</v>
      </c>
      <c r="I820">
        <v>2200000610</v>
      </c>
      <c r="P820" t="s">
        <v>662</v>
      </c>
      <c r="Q820" t="s">
        <v>775</v>
      </c>
    </row>
    <row r="821" spans="3:17">
      <c r="C821" t="s">
        <v>525</v>
      </c>
      <c r="D821" t="s">
        <v>656</v>
      </c>
      <c r="E821" t="s">
        <v>629</v>
      </c>
      <c r="G821" t="s">
        <v>387</v>
      </c>
      <c r="I821">
        <v>2200000747</v>
      </c>
      <c r="P821" t="s">
        <v>73</v>
      </c>
      <c r="Q821">
        <v>180</v>
      </c>
    </row>
    <row r="822" spans="3:17">
      <c r="C822" t="s">
        <v>525</v>
      </c>
      <c r="D822" t="s">
        <v>526</v>
      </c>
      <c r="E822" t="s">
        <v>776</v>
      </c>
      <c r="G822" t="s">
        <v>585</v>
      </c>
      <c r="I822">
        <v>2200000247</v>
      </c>
      <c r="P822" t="s">
        <v>72</v>
      </c>
      <c r="Q822">
        <v>250</v>
      </c>
    </row>
    <row r="823" spans="3:17">
      <c r="C823" t="s">
        <v>525</v>
      </c>
      <c r="D823" t="s">
        <v>656</v>
      </c>
      <c r="E823" t="s">
        <v>758</v>
      </c>
      <c r="G823" t="s">
        <v>643</v>
      </c>
      <c r="I823">
        <v>2200000795</v>
      </c>
      <c r="P823" t="s">
        <v>662</v>
      </c>
      <c r="Q823">
        <v>97.31</v>
      </c>
    </row>
    <row r="824" spans="3:17">
      <c r="C824" t="s">
        <v>525</v>
      </c>
      <c r="D824" t="s">
        <v>656</v>
      </c>
      <c r="E824" t="s">
        <v>758</v>
      </c>
      <c r="G824" t="s">
        <v>643</v>
      </c>
      <c r="I824">
        <v>2200001028</v>
      </c>
      <c r="P824" t="s">
        <v>662</v>
      </c>
      <c r="Q824">
        <v>84.75</v>
      </c>
    </row>
    <row r="825" spans="3:17">
      <c r="C825" t="s">
        <v>417</v>
      </c>
      <c r="D825" t="s">
        <v>777</v>
      </c>
      <c r="E825" t="s">
        <v>444</v>
      </c>
      <c r="G825" t="s">
        <v>449</v>
      </c>
      <c r="I825">
        <v>2200000158</v>
      </c>
      <c r="P825" t="s">
        <v>724</v>
      </c>
      <c r="Q825">
        <v>600</v>
      </c>
    </row>
    <row r="826" spans="3:17">
      <c r="C826" t="s">
        <v>525</v>
      </c>
      <c r="D826" t="s">
        <v>526</v>
      </c>
      <c r="E826" t="s">
        <v>567</v>
      </c>
      <c r="G826" t="s">
        <v>554</v>
      </c>
      <c r="I826">
        <v>230700014</v>
      </c>
      <c r="P826" t="s">
        <v>662</v>
      </c>
      <c r="Q826">
        <v>1100</v>
      </c>
    </row>
    <row r="827" spans="3:17">
      <c r="C827" t="s">
        <v>525</v>
      </c>
      <c r="D827" t="s">
        <v>526</v>
      </c>
      <c r="E827" t="s">
        <v>572</v>
      </c>
      <c r="G827" t="s">
        <v>574</v>
      </c>
      <c r="I827">
        <v>2200000324</v>
      </c>
      <c r="P827" t="s">
        <v>662</v>
      </c>
      <c r="Q827" t="s">
        <v>575</v>
      </c>
    </row>
    <row r="828" spans="3:17">
      <c r="C828" t="s">
        <v>68</v>
      </c>
      <c r="D828" t="s">
        <v>69</v>
      </c>
      <c r="E828" t="s">
        <v>241</v>
      </c>
      <c r="G828" t="s">
        <v>242</v>
      </c>
      <c r="I828">
        <v>2200000284</v>
      </c>
      <c r="P828" t="s">
        <v>72</v>
      </c>
      <c r="Q828">
        <v>300</v>
      </c>
    </row>
    <row r="829" spans="3:17">
      <c r="C829" t="s">
        <v>68</v>
      </c>
      <c r="D829" t="s">
        <v>69</v>
      </c>
      <c r="E829" t="s">
        <v>675</v>
      </c>
      <c r="G829" t="s">
        <v>266</v>
      </c>
      <c r="I829" t="s">
        <v>270</v>
      </c>
      <c r="P829" t="s">
        <v>72</v>
      </c>
      <c r="Q829">
        <v>50</v>
      </c>
    </row>
    <row r="830" spans="3:17">
      <c r="C830" t="s">
        <v>68</v>
      </c>
      <c r="D830" t="s">
        <v>69</v>
      </c>
      <c r="E830" t="s">
        <v>675</v>
      </c>
      <c r="G830" t="s">
        <v>271</v>
      </c>
      <c r="I830">
        <v>212100005</v>
      </c>
      <c r="P830" t="s">
        <v>72</v>
      </c>
      <c r="Q830">
        <v>100</v>
      </c>
    </row>
    <row r="831" spans="3:17">
      <c r="C831" t="s">
        <v>68</v>
      </c>
      <c r="D831" t="s">
        <v>69</v>
      </c>
      <c r="E831" t="s">
        <v>675</v>
      </c>
      <c r="G831" t="s">
        <v>273</v>
      </c>
      <c r="I831">
        <v>212100007</v>
      </c>
      <c r="P831" t="s">
        <v>72</v>
      </c>
      <c r="Q831">
        <v>350</v>
      </c>
    </row>
    <row r="832" spans="3:17">
      <c r="C832" t="s">
        <v>68</v>
      </c>
      <c r="D832" t="s">
        <v>69</v>
      </c>
      <c r="E832" t="s">
        <v>675</v>
      </c>
      <c r="G832" t="s">
        <v>273</v>
      </c>
      <c r="I832">
        <v>212100008</v>
      </c>
      <c r="P832" t="s">
        <v>72</v>
      </c>
      <c r="Q832">
        <v>150</v>
      </c>
    </row>
    <row r="833" spans="3:17">
      <c r="C833" t="s">
        <v>68</v>
      </c>
      <c r="D833" t="s">
        <v>69</v>
      </c>
      <c r="E833" t="s">
        <v>277</v>
      </c>
      <c r="G833" t="s">
        <v>286</v>
      </c>
      <c r="I833">
        <v>212100042</v>
      </c>
      <c r="P833" t="s">
        <v>72</v>
      </c>
      <c r="Q833">
        <v>217</v>
      </c>
    </row>
    <row r="834" spans="3:17">
      <c r="C834" t="s">
        <v>68</v>
      </c>
      <c r="D834" t="s">
        <v>69</v>
      </c>
      <c r="E834" t="s">
        <v>277</v>
      </c>
      <c r="G834" t="s">
        <v>287</v>
      </c>
      <c r="I834">
        <v>212100025</v>
      </c>
      <c r="P834" t="s">
        <v>72</v>
      </c>
      <c r="Q834">
        <v>300</v>
      </c>
    </row>
    <row r="835" spans="3:17">
      <c r="C835" t="s">
        <v>68</v>
      </c>
      <c r="D835" t="s">
        <v>69</v>
      </c>
      <c r="E835" t="s">
        <v>277</v>
      </c>
      <c r="G835" t="s">
        <v>169</v>
      </c>
      <c r="I835">
        <v>2200000008</v>
      </c>
      <c r="P835" t="s">
        <v>72</v>
      </c>
      <c r="Q835">
        <v>300</v>
      </c>
    </row>
    <row r="836" spans="3:17">
      <c r="C836" t="s">
        <v>68</v>
      </c>
      <c r="D836" t="s">
        <v>69</v>
      </c>
      <c r="E836" t="s">
        <v>277</v>
      </c>
      <c r="G836" t="s">
        <v>281</v>
      </c>
      <c r="I836">
        <v>2200000098</v>
      </c>
      <c r="P836" t="s">
        <v>72</v>
      </c>
      <c r="Q836">
        <v>50</v>
      </c>
    </row>
    <row r="837" spans="3:17">
      <c r="C837" t="s">
        <v>68</v>
      </c>
      <c r="D837" t="s">
        <v>69</v>
      </c>
      <c r="E837" t="s">
        <v>277</v>
      </c>
      <c r="G837" t="s">
        <v>279</v>
      </c>
      <c r="I837">
        <v>2200000111</v>
      </c>
      <c r="P837" t="s">
        <v>72</v>
      </c>
      <c r="Q837">
        <v>400</v>
      </c>
    </row>
    <row r="838" spans="3:17">
      <c r="C838" t="s">
        <v>68</v>
      </c>
      <c r="D838" t="s">
        <v>69</v>
      </c>
      <c r="E838" t="s">
        <v>277</v>
      </c>
      <c r="G838" t="s">
        <v>279</v>
      </c>
      <c r="I838">
        <v>2200000163</v>
      </c>
      <c r="P838" t="s">
        <v>72</v>
      </c>
      <c r="Q838">
        <v>1000</v>
      </c>
    </row>
    <row r="839" spans="3:17">
      <c r="C839" t="s">
        <v>68</v>
      </c>
      <c r="D839" t="s">
        <v>69</v>
      </c>
      <c r="E839" t="s">
        <v>277</v>
      </c>
      <c r="G839" t="s">
        <v>280</v>
      </c>
      <c r="I839">
        <v>2200000172</v>
      </c>
      <c r="P839" t="s">
        <v>72</v>
      </c>
      <c r="Q839">
        <v>50</v>
      </c>
    </row>
    <row r="840" spans="3:17">
      <c r="C840" t="s">
        <v>68</v>
      </c>
      <c r="D840" t="s">
        <v>69</v>
      </c>
      <c r="E840" t="s">
        <v>277</v>
      </c>
      <c r="G840" t="s">
        <v>284</v>
      </c>
      <c r="I840">
        <v>2200000167</v>
      </c>
      <c r="P840" t="s">
        <v>72</v>
      </c>
      <c r="Q840">
        <v>150</v>
      </c>
    </row>
    <row r="841" spans="3:17">
      <c r="C841" t="s">
        <v>68</v>
      </c>
      <c r="D841" t="s">
        <v>69</v>
      </c>
      <c r="E841" t="s">
        <v>277</v>
      </c>
      <c r="G841" t="s">
        <v>280</v>
      </c>
      <c r="I841">
        <v>2200000164</v>
      </c>
      <c r="P841" t="s">
        <v>72</v>
      </c>
      <c r="Q841">
        <v>50</v>
      </c>
    </row>
    <row r="842" spans="3:17">
      <c r="C842" t="s">
        <v>68</v>
      </c>
      <c r="D842" t="s">
        <v>69</v>
      </c>
      <c r="E842" t="s">
        <v>277</v>
      </c>
      <c r="G842" t="s">
        <v>280</v>
      </c>
      <c r="I842">
        <v>2200000165</v>
      </c>
      <c r="P842" t="s">
        <v>72</v>
      </c>
      <c r="Q842">
        <v>50</v>
      </c>
    </row>
    <row r="843" spans="3:17">
      <c r="C843" t="s">
        <v>68</v>
      </c>
      <c r="D843" t="s">
        <v>69</v>
      </c>
      <c r="E843" t="s">
        <v>277</v>
      </c>
      <c r="G843" t="s">
        <v>280</v>
      </c>
      <c r="I843">
        <v>2200000227</v>
      </c>
      <c r="P843" t="s">
        <v>72</v>
      </c>
      <c r="Q843">
        <v>50</v>
      </c>
    </row>
    <row r="844" spans="3:17">
      <c r="C844" t="s">
        <v>68</v>
      </c>
      <c r="D844" t="s">
        <v>69</v>
      </c>
      <c r="E844" t="s">
        <v>277</v>
      </c>
      <c r="G844" t="s">
        <v>280</v>
      </c>
      <c r="I844">
        <v>2200000228</v>
      </c>
      <c r="P844" t="s">
        <v>72</v>
      </c>
      <c r="Q844">
        <v>50</v>
      </c>
    </row>
    <row r="845" spans="3:17">
      <c r="C845" t="s">
        <v>68</v>
      </c>
      <c r="D845" t="s">
        <v>69</v>
      </c>
      <c r="E845" t="s">
        <v>732</v>
      </c>
      <c r="G845" t="s">
        <v>331</v>
      </c>
      <c r="I845">
        <v>212100034</v>
      </c>
      <c r="P845" t="s">
        <v>72</v>
      </c>
      <c r="Q845">
        <v>300</v>
      </c>
    </row>
    <row r="846" spans="3:17">
      <c r="C846" t="s">
        <v>68</v>
      </c>
      <c r="D846" t="s">
        <v>69</v>
      </c>
      <c r="E846" t="s">
        <v>732</v>
      </c>
      <c r="G846" t="s">
        <v>331</v>
      </c>
      <c r="I846">
        <v>212100036</v>
      </c>
      <c r="P846" t="s">
        <v>72</v>
      </c>
      <c r="Q846">
        <v>300</v>
      </c>
    </row>
    <row r="847" spans="3:17">
      <c r="C847" t="s">
        <v>68</v>
      </c>
      <c r="D847" t="s">
        <v>69</v>
      </c>
      <c r="E847" t="s">
        <v>732</v>
      </c>
      <c r="G847" t="s">
        <v>218</v>
      </c>
      <c r="I847">
        <v>2200000020</v>
      </c>
      <c r="P847" t="s">
        <v>72</v>
      </c>
      <c r="Q847">
        <v>300</v>
      </c>
    </row>
    <row r="848" spans="3:17">
      <c r="C848" t="s">
        <v>68</v>
      </c>
      <c r="D848" t="s">
        <v>69</v>
      </c>
      <c r="E848" t="s">
        <v>732</v>
      </c>
      <c r="G848" t="s">
        <v>329</v>
      </c>
      <c r="I848">
        <v>2200000024</v>
      </c>
      <c r="P848" t="s">
        <v>72</v>
      </c>
      <c r="Q848">
        <v>400</v>
      </c>
    </row>
    <row r="849" spans="3:17">
      <c r="C849" t="s">
        <v>68</v>
      </c>
      <c r="D849" t="s">
        <v>69</v>
      </c>
      <c r="E849" t="s">
        <v>732</v>
      </c>
      <c r="G849" t="s">
        <v>345</v>
      </c>
      <c r="I849">
        <v>2200000065</v>
      </c>
      <c r="P849" t="s">
        <v>72</v>
      </c>
      <c r="Q849">
        <v>100</v>
      </c>
    </row>
    <row r="850" spans="3:17">
      <c r="C850" t="s">
        <v>68</v>
      </c>
      <c r="D850" t="s">
        <v>69</v>
      </c>
      <c r="E850" t="s">
        <v>732</v>
      </c>
      <c r="G850" t="s">
        <v>330</v>
      </c>
      <c r="I850">
        <v>2200000116</v>
      </c>
      <c r="P850" t="s">
        <v>72</v>
      </c>
      <c r="Q850">
        <v>400</v>
      </c>
    </row>
    <row r="851" spans="3:17">
      <c r="C851" t="s">
        <v>68</v>
      </c>
      <c r="D851" t="s">
        <v>69</v>
      </c>
      <c r="E851" t="s">
        <v>732</v>
      </c>
      <c r="G851" t="s">
        <v>352</v>
      </c>
      <c r="I851">
        <v>2200000140</v>
      </c>
      <c r="P851" t="s">
        <v>72</v>
      </c>
      <c r="Q851">
        <v>260</v>
      </c>
    </row>
    <row r="852" spans="3:17">
      <c r="C852" t="s">
        <v>68</v>
      </c>
      <c r="D852" t="s">
        <v>69</v>
      </c>
      <c r="E852" t="s">
        <v>732</v>
      </c>
      <c r="G852" t="s">
        <v>168</v>
      </c>
      <c r="I852">
        <v>2200000123</v>
      </c>
      <c r="P852" t="s">
        <v>72</v>
      </c>
      <c r="Q852">
        <v>95</v>
      </c>
    </row>
    <row r="853" spans="3:17">
      <c r="C853" t="s">
        <v>68</v>
      </c>
      <c r="D853" t="s">
        <v>69</v>
      </c>
      <c r="E853" t="s">
        <v>732</v>
      </c>
      <c r="G853" t="s">
        <v>353</v>
      </c>
      <c r="I853">
        <v>2200000138</v>
      </c>
      <c r="P853" t="s">
        <v>662</v>
      </c>
      <c r="Q853">
        <v>390</v>
      </c>
    </row>
    <row r="854" spans="3:17">
      <c r="C854" t="s">
        <v>68</v>
      </c>
      <c r="D854" t="s">
        <v>69</v>
      </c>
      <c r="E854" t="s">
        <v>735</v>
      </c>
      <c r="G854" t="s">
        <v>368</v>
      </c>
      <c r="I854">
        <v>212100032</v>
      </c>
      <c r="P854" t="s">
        <v>72</v>
      </c>
      <c r="Q854">
        <v>200</v>
      </c>
    </row>
    <row r="855" spans="3:17">
      <c r="C855" t="s">
        <v>68</v>
      </c>
      <c r="D855" t="s">
        <v>69</v>
      </c>
      <c r="E855" t="s">
        <v>735</v>
      </c>
      <c r="G855" t="s">
        <v>368</v>
      </c>
      <c r="I855" t="s">
        <v>778</v>
      </c>
      <c r="P855" t="s">
        <v>72</v>
      </c>
      <c r="Q855">
        <v>100</v>
      </c>
    </row>
    <row r="856" spans="3:17">
      <c r="C856" t="s">
        <v>68</v>
      </c>
      <c r="D856" t="s">
        <v>69</v>
      </c>
      <c r="E856" t="s">
        <v>735</v>
      </c>
      <c r="G856" t="s">
        <v>213</v>
      </c>
      <c r="I856">
        <v>312100007</v>
      </c>
      <c r="P856" t="s">
        <v>662</v>
      </c>
      <c r="Q856">
        <v>50</v>
      </c>
    </row>
    <row r="857" spans="3:17">
      <c r="C857" t="s">
        <v>68</v>
      </c>
      <c r="D857" t="s">
        <v>69</v>
      </c>
      <c r="E857" t="s">
        <v>735</v>
      </c>
      <c r="G857" t="s">
        <v>346</v>
      </c>
      <c r="I857">
        <v>2200000003</v>
      </c>
      <c r="P857" t="s">
        <v>662</v>
      </c>
      <c r="Q857">
        <v>119.2</v>
      </c>
    </row>
    <row r="858" spans="3:17">
      <c r="C858" t="s">
        <v>68</v>
      </c>
      <c r="D858" t="s">
        <v>69</v>
      </c>
      <c r="E858" t="s">
        <v>735</v>
      </c>
      <c r="G858" t="s">
        <v>346</v>
      </c>
      <c r="I858">
        <v>2200000102</v>
      </c>
      <c r="P858" t="s">
        <v>662</v>
      </c>
      <c r="Q858">
        <v>180.8</v>
      </c>
    </row>
    <row r="859" spans="3:17">
      <c r="C859" t="s">
        <v>68</v>
      </c>
      <c r="D859" t="s">
        <v>69</v>
      </c>
      <c r="E859" t="s">
        <v>779</v>
      </c>
      <c r="G859" t="s">
        <v>188</v>
      </c>
      <c r="I859">
        <v>2200000187</v>
      </c>
      <c r="P859" t="s">
        <v>72</v>
      </c>
      <c r="Q859">
        <v>300</v>
      </c>
    </row>
    <row r="860" spans="3:17">
      <c r="C860" t="s">
        <v>68</v>
      </c>
      <c r="D860" t="s">
        <v>69</v>
      </c>
      <c r="E860" t="s">
        <v>215</v>
      </c>
      <c r="G860" t="s">
        <v>234</v>
      </c>
      <c r="I860">
        <v>212100028</v>
      </c>
      <c r="P860" t="s">
        <v>72</v>
      </c>
      <c r="Q860">
        <v>300</v>
      </c>
    </row>
    <row r="861" spans="3:17">
      <c r="C861" t="s">
        <v>68</v>
      </c>
      <c r="D861" t="s">
        <v>69</v>
      </c>
      <c r="E861" t="s">
        <v>215</v>
      </c>
      <c r="G861" t="s">
        <v>235</v>
      </c>
      <c r="I861">
        <v>212100031</v>
      </c>
      <c r="P861" t="s">
        <v>72</v>
      </c>
      <c r="Q861">
        <v>50</v>
      </c>
    </row>
    <row r="862" spans="3:17">
      <c r="C862" t="s">
        <v>68</v>
      </c>
      <c r="D862" t="s">
        <v>69</v>
      </c>
      <c r="E862" t="s">
        <v>215</v>
      </c>
      <c r="G862" t="s">
        <v>236</v>
      </c>
      <c r="I862">
        <v>212100033</v>
      </c>
      <c r="P862" t="s">
        <v>72</v>
      </c>
      <c r="Q862">
        <v>300</v>
      </c>
    </row>
    <row r="863" spans="3:17">
      <c r="C863" t="s">
        <v>68</v>
      </c>
      <c r="D863" t="s">
        <v>69</v>
      </c>
      <c r="E863" t="s">
        <v>385</v>
      </c>
      <c r="G863" t="s">
        <v>391</v>
      </c>
      <c r="I863">
        <v>212100038</v>
      </c>
      <c r="P863" t="s">
        <v>72</v>
      </c>
      <c r="Q863">
        <v>150</v>
      </c>
    </row>
    <row r="864" spans="3:17">
      <c r="C864" t="s">
        <v>417</v>
      </c>
      <c r="D864" t="s">
        <v>682</v>
      </c>
      <c r="E864" t="s">
        <v>780</v>
      </c>
      <c r="G864" t="s">
        <v>489</v>
      </c>
      <c r="I864">
        <v>2200000657</v>
      </c>
      <c r="P864" t="s">
        <v>662</v>
      </c>
      <c r="Q864" t="s">
        <v>781</v>
      </c>
    </row>
    <row r="865" spans="3:17">
      <c r="C865" t="s">
        <v>417</v>
      </c>
      <c r="D865" t="s">
        <v>682</v>
      </c>
      <c r="E865" t="s">
        <v>782</v>
      </c>
      <c r="G865" t="s">
        <v>499</v>
      </c>
      <c r="I865">
        <v>2200000625</v>
      </c>
      <c r="P865" t="s">
        <v>662</v>
      </c>
      <c r="Q865" t="s">
        <v>783</v>
      </c>
    </row>
    <row r="866" spans="3:17">
      <c r="C866" t="s">
        <v>417</v>
      </c>
      <c r="D866" t="s">
        <v>682</v>
      </c>
      <c r="E866" t="s">
        <v>784</v>
      </c>
      <c r="G866" t="s">
        <v>460</v>
      </c>
      <c r="I866">
        <v>2200000948</v>
      </c>
      <c r="P866" t="s">
        <v>72</v>
      </c>
      <c r="Q866">
        <v>300</v>
      </c>
    </row>
    <row r="867" spans="3:17">
      <c r="C867" t="s">
        <v>417</v>
      </c>
      <c r="D867" t="s">
        <v>785</v>
      </c>
      <c r="E867" t="s">
        <v>668</v>
      </c>
      <c r="G867" t="s">
        <v>528</v>
      </c>
      <c r="I867">
        <v>2200000226</v>
      </c>
      <c r="P867" t="s">
        <v>73</v>
      </c>
      <c r="Q867">
        <v>150</v>
      </c>
    </row>
    <row r="868" spans="3:17">
      <c r="C868" t="s">
        <v>68</v>
      </c>
      <c r="D868" t="s">
        <v>69</v>
      </c>
      <c r="E868" t="s">
        <v>191</v>
      </c>
      <c r="G868" t="s">
        <v>219</v>
      </c>
      <c r="I868">
        <v>2200000152</v>
      </c>
      <c r="P868" t="s">
        <v>72</v>
      </c>
      <c r="Q868">
        <v>150</v>
      </c>
    </row>
    <row r="869" spans="3:17">
      <c r="C869" t="s">
        <v>417</v>
      </c>
      <c r="D869" t="s">
        <v>682</v>
      </c>
      <c r="E869" t="s">
        <v>782</v>
      </c>
      <c r="G869" t="s">
        <v>499</v>
      </c>
      <c r="I869">
        <v>2200000702</v>
      </c>
      <c r="P869" t="s">
        <v>662</v>
      </c>
      <c r="Q869" t="s">
        <v>786</v>
      </c>
    </row>
    <row r="870" spans="3:17">
      <c r="C870" t="s">
        <v>525</v>
      </c>
      <c r="D870" t="s">
        <v>656</v>
      </c>
      <c r="E870" t="s">
        <v>621</v>
      </c>
      <c r="G870" t="s">
        <v>178</v>
      </c>
      <c r="I870">
        <v>2200000075</v>
      </c>
      <c r="P870" t="s">
        <v>73</v>
      </c>
      <c r="Q870">
        <v>50</v>
      </c>
    </row>
    <row r="871" spans="3:17">
      <c r="C871" t="s">
        <v>525</v>
      </c>
      <c r="D871" t="s">
        <v>656</v>
      </c>
      <c r="E871" t="s">
        <v>621</v>
      </c>
      <c r="G871" t="s">
        <v>178</v>
      </c>
      <c r="I871">
        <v>2200000353</v>
      </c>
      <c r="P871" t="s">
        <v>73</v>
      </c>
      <c r="Q871">
        <v>250</v>
      </c>
    </row>
    <row r="872" spans="3:17">
      <c r="C872" t="s">
        <v>525</v>
      </c>
      <c r="D872" t="s">
        <v>526</v>
      </c>
      <c r="E872" t="s">
        <v>572</v>
      </c>
      <c r="G872" t="s">
        <v>580</v>
      </c>
      <c r="I872">
        <v>2200000341</v>
      </c>
      <c r="P872" t="s">
        <v>72</v>
      </c>
      <c r="Q872">
        <v>200</v>
      </c>
    </row>
    <row r="873" spans="3:17">
      <c r="C873" t="s">
        <v>525</v>
      </c>
      <c r="D873" t="s">
        <v>526</v>
      </c>
      <c r="E873" t="s">
        <v>572</v>
      </c>
      <c r="G873" t="s">
        <v>487</v>
      </c>
      <c r="I873">
        <v>2200000398</v>
      </c>
      <c r="P873" t="s">
        <v>73</v>
      </c>
      <c r="Q873">
        <v>76</v>
      </c>
    </row>
    <row r="874" spans="3:17">
      <c r="C874" t="s">
        <v>525</v>
      </c>
      <c r="D874" t="s">
        <v>526</v>
      </c>
      <c r="E874" t="s">
        <v>572</v>
      </c>
      <c r="G874" t="s">
        <v>580</v>
      </c>
      <c r="I874">
        <v>2200000403</v>
      </c>
      <c r="P874" t="s">
        <v>72</v>
      </c>
      <c r="Q874">
        <v>100</v>
      </c>
    </row>
    <row r="875" spans="3:17">
      <c r="C875" t="s">
        <v>525</v>
      </c>
      <c r="D875" t="s">
        <v>526</v>
      </c>
      <c r="E875" t="s">
        <v>572</v>
      </c>
      <c r="G875" t="s">
        <v>487</v>
      </c>
      <c r="I875">
        <v>2200000427</v>
      </c>
      <c r="P875" t="s">
        <v>73</v>
      </c>
      <c r="Q875">
        <v>76</v>
      </c>
    </row>
    <row r="876" spans="3:17">
      <c r="C876" t="s">
        <v>417</v>
      </c>
      <c r="D876" t="s">
        <v>682</v>
      </c>
      <c r="E876" t="s">
        <v>784</v>
      </c>
      <c r="G876" t="s">
        <v>460</v>
      </c>
      <c r="I876">
        <v>2200001012</v>
      </c>
      <c r="P876" t="s">
        <v>72</v>
      </c>
      <c r="Q876">
        <v>300</v>
      </c>
    </row>
    <row r="877" spans="3:17">
      <c r="C877" t="s">
        <v>525</v>
      </c>
      <c r="D877" t="s">
        <v>526</v>
      </c>
      <c r="E877" t="s">
        <v>546</v>
      </c>
      <c r="G877" t="s">
        <v>787</v>
      </c>
      <c r="I877">
        <v>1200002678</v>
      </c>
      <c r="P877" t="s">
        <v>72</v>
      </c>
      <c r="Q877">
        <v>917</v>
      </c>
    </row>
    <row r="878" spans="3:17">
      <c r="C878" t="s">
        <v>525</v>
      </c>
      <c r="D878" t="s">
        <v>656</v>
      </c>
      <c r="E878" t="s">
        <v>629</v>
      </c>
      <c r="G878" t="s">
        <v>387</v>
      </c>
      <c r="I878">
        <v>2200001054</v>
      </c>
      <c r="P878" t="s">
        <v>73</v>
      </c>
      <c r="Q878">
        <v>220</v>
      </c>
    </row>
    <row r="879" spans="3:17">
      <c r="C879" t="s">
        <v>525</v>
      </c>
      <c r="D879" t="s">
        <v>526</v>
      </c>
      <c r="E879" t="s">
        <v>742</v>
      </c>
      <c r="G879" t="s">
        <v>539</v>
      </c>
      <c r="I879">
        <v>2200000246</v>
      </c>
      <c r="P879" t="s">
        <v>662</v>
      </c>
      <c r="Q879">
        <v>250</v>
      </c>
    </row>
    <row r="880" spans="3:17">
      <c r="C880" t="s">
        <v>525</v>
      </c>
      <c r="D880" t="s">
        <v>526</v>
      </c>
      <c r="E880" t="s">
        <v>742</v>
      </c>
      <c r="G880" t="s">
        <v>540</v>
      </c>
      <c r="I880">
        <v>2200000261</v>
      </c>
      <c r="P880" t="s">
        <v>73</v>
      </c>
      <c r="Q880">
        <v>175</v>
      </c>
    </row>
    <row r="881" spans="3:17">
      <c r="C881" t="s">
        <v>525</v>
      </c>
      <c r="D881" t="s">
        <v>526</v>
      </c>
      <c r="E881" t="s">
        <v>742</v>
      </c>
      <c r="G881" t="s">
        <v>541</v>
      </c>
      <c r="I881">
        <v>2200000263</v>
      </c>
      <c r="P881" t="s">
        <v>73</v>
      </c>
      <c r="Q881">
        <v>400</v>
      </c>
    </row>
    <row r="882" spans="3:17">
      <c r="C882" t="s">
        <v>525</v>
      </c>
      <c r="D882" t="s">
        <v>526</v>
      </c>
      <c r="E882" t="s">
        <v>742</v>
      </c>
      <c r="G882" t="s">
        <v>181</v>
      </c>
      <c r="I882">
        <v>2200000241</v>
      </c>
      <c r="P882" t="s">
        <v>73</v>
      </c>
      <c r="Q882">
        <v>545</v>
      </c>
    </row>
    <row r="883" spans="3:17">
      <c r="C883" t="s">
        <v>525</v>
      </c>
      <c r="D883" t="s">
        <v>526</v>
      </c>
      <c r="E883" t="s">
        <v>742</v>
      </c>
      <c r="G883" t="s">
        <v>178</v>
      </c>
      <c r="I883">
        <v>2200000445</v>
      </c>
      <c r="P883" t="s">
        <v>73</v>
      </c>
      <c r="Q883">
        <v>100</v>
      </c>
    </row>
    <row r="884" spans="3:17">
      <c r="C884" t="s">
        <v>525</v>
      </c>
      <c r="D884" t="s">
        <v>526</v>
      </c>
      <c r="E884" t="s">
        <v>742</v>
      </c>
      <c r="G884" t="s">
        <v>542</v>
      </c>
      <c r="I884">
        <v>2200000473</v>
      </c>
      <c r="P884" t="s">
        <v>73</v>
      </c>
      <c r="Q884">
        <v>50</v>
      </c>
    </row>
    <row r="885" spans="3:17">
      <c r="C885" t="s">
        <v>525</v>
      </c>
      <c r="D885" t="s">
        <v>526</v>
      </c>
      <c r="E885" t="s">
        <v>742</v>
      </c>
      <c r="G885" t="s">
        <v>532</v>
      </c>
      <c r="I885">
        <v>2200000503</v>
      </c>
      <c r="P885" t="s">
        <v>73</v>
      </c>
      <c r="Q885">
        <v>308.49</v>
      </c>
    </row>
    <row r="886" spans="3:17">
      <c r="C886" t="s">
        <v>525</v>
      </c>
      <c r="D886" t="s">
        <v>526</v>
      </c>
      <c r="E886" t="s">
        <v>742</v>
      </c>
      <c r="G886" t="s">
        <v>178</v>
      </c>
      <c r="I886">
        <v>2200000556</v>
      </c>
      <c r="P886" t="s">
        <v>73</v>
      </c>
      <c r="Q886">
        <v>200</v>
      </c>
    </row>
    <row r="887" spans="3:17">
      <c r="C887" t="s">
        <v>525</v>
      </c>
      <c r="D887" t="s">
        <v>526</v>
      </c>
      <c r="E887" t="s">
        <v>742</v>
      </c>
      <c r="G887" t="s">
        <v>181</v>
      </c>
      <c r="I887">
        <v>2200000565</v>
      </c>
      <c r="P887" t="s">
        <v>73</v>
      </c>
      <c r="Q887">
        <v>80</v>
      </c>
    </row>
    <row r="888" spans="3:17">
      <c r="C888" t="s">
        <v>525</v>
      </c>
      <c r="D888" t="s">
        <v>526</v>
      </c>
      <c r="E888" t="s">
        <v>742</v>
      </c>
      <c r="G888" t="s">
        <v>543</v>
      </c>
      <c r="I888">
        <v>2200000337</v>
      </c>
      <c r="P888" t="s">
        <v>72</v>
      </c>
      <c r="Q888">
        <v>150</v>
      </c>
    </row>
    <row r="889" spans="3:17">
      <c r="C889" t="s">
        <v>68</v>
      </c>
      <c r="D889" t="s">
        <v>69</v>
      </c>
      <c r="E889" t="s">
        <v>779</v>
      </c>
      <c r="G889" t="s">
        <v>373</v>
      </c>
      <c r="I889">
        <v>212100043</v>
      </c>
      <c r="P889" t="s">
        <v>72</v>
      </c>
      <c r="Q889">
        <v>300</v>
      </c>
    </row>
    <row r="890" spans="3:17">
      <c r="C890" t="s">
        <v>68</v>
      </c>
      <c r="D890" t="s">
        <v>69</v>
      </c>
      <c r="E890" t="s">
        <v>779</v>
      </c>
      <c r="G890" t="s">
        <v>366</v>
      </c>
      <c r="I890">
        <v>312100019</v>
      </c>
      <c r="P890" t="s">
        <v>662</v>
      </c>
      <c r="Q890">
        <v>90</v>
      </c>
    </row>
    <row r="891" spans="3:17">
      <c r="C891" t="s">
        <v>68</v>
      </c>
      <c r="D891" t="s">
        <v>69</v>
      </c>
      <c r="E891" t="s">
        <v>779</v>
      </c>
      <c r="G891" t="s">
        <v>366</v>
      </c>
      <c r="I891" t="s">
        <v>374</v>
      </c>
      <c r="P891" t="s">
        <v>72</v>
      </c>
      <c r="Q891">
        <v>150</v>
      </c>
    </row>
    <row r="892" spans="3:17">
      <c r="C892" t="s">
        <v>68</v>
      </c>
      <c r="D892" t="s">
        <v>69</v>
      </c>
      <c r="E892" t="s">
        <v>779</v>
      </c>
      <c r="G892" t="s">
        <v>375</v>
      </c>
      <c r="I892">
        <v>212100004</v>
      </c>
      <c r="P892" t="s">
        <v>72</v>
      </c>
      <c r="Q892">
        <v>80</v>
      </c>
    </row>
    <row r="893" spans="3:17">
      <c r="C893" t="s">
        <v>525</v>
      </c>
      <c r="D893" t="s">
        <v>591</v>
      </c>
      <c r="E893" t="s">
        <v>788</v>
      </c>
      <c r="G893" t="s">
        <v>596</v>
      </c>
      <c r="I893">
        <v>2200000089</v>
      </c>
      <c r="P893" t="s">
        <v>724</v>
      </c>
      <c r="Q893">
        <v>504</v>
      </c>
    </row>
    <row r="894" spans="3:17">
      <c r="C894" t="s">
        <v>525</v>
      </c>
      <c r="D894" t="s">
        <v>591</v>
      </c>
      <c r="E894" t="s">
        <v>788</v>
      </c>
      <c r="G894" t="s">
        <v>596</v>
      </c>
      <c r="I894">
        <v>2200000090</v>
      </c>
      <c r="P894" t="s">
        <v>724</v>
      </c>
      <c r="Q894">
        <v>504</v>
      </c>
    </row>
    <row r="895" spans="3:17">
      <c r="C895" t="s">
        <v>525</v>
      </c>
      <c r="D895" t="s">
        <v>591</v>
      </c>
      <c r="E895" t="s">
        <v>788</v>
      </c>
      <c r="G895" t="s">
        <v>596</v>
      </c>
      <c r="I895">
        <v>2200000091</v>
      </c>
      <c r="P895" t="s">
        <v>724</v>
      </c>
      <c r="Q895">
        <v>504</v>
      </c>
    </row>
    <row r="896" spans="3:17">
      <c r="C896" t="s">
        <v>525</v>
      </c>
      <c r="D896" t="s">
        <v>526</v>
      </c>
      <c r="E896" t="s">
        <v>789</v>
      </c>
      <c r="G896" t="s">
        <v>790</v>
      </c>
      <c r="I896">
        <v>2200001083</v>
      </c>
      <c r="P896" t="s">
        <v>73</v>
      </c>
      <c r="Q896">
        <v>300</v>
      </c>
    </row>
    <row r="897" spans="3:17">
      <c r="C897" t="s">
        <v>68</v>
      </c>
      <c r="D897" t="s">
        <v>69</v>
      </c>
      <c r="E897" t="s">
        <v>164</v>
      </c>
      <c r="G897" t="s">
        <v>168</v>
      </c>
      <c r="I897">
        <v>2200000153</v>
      </c>
      <c r="P897" t="s">
        <v>72</v>
      </c>
      <c r="Q897">
        <v>300</v>
      </c>
    </row>
    <row r="898" spans="3:17">
      <c r="C898" t="s">
        <v>68</v>
      </c>
      <c r="D898" t="s">
        <v>69</v>
      </c>
      <c r="E898" t="s">
        <v>164</v>
      </c>
      <c r="G898" t="s">
        <v>169</v>
      </c>
      <c r="I898">
        <v>2200000161</v>
      </c>
      <c r="P898" t="s">
        <v>72</v>
      </c>
      <c r="Q898">
        <v>400</v>
      </c>
    </row>
    <row r="899" spans="3:17">
      <c r="C899" t="s">
        <v>68</v>
      </c>
      <c r="D899" t="s">
        <v>69</v>
      </c>
      <c r="E899" t="s">
        <v>164</v>
      </c>
      <c r="G899" t="s">
        <v>170</v>
      </c>
      <c r="I899">
        <v>2200000181</v>
      </c>
      <c r="P899" t="s">
        <v>72</v>
      </c>
      <c r="Q899">
        <v>300</v>
      </c>
    </row>
    <row r="900" spans="3:17">
      <c r="C900" t="s">
        <v>68</v>
      </c>
      <c r="D900" t="s">
        <v>69</v>
      </c>
      <c r="E900" t="s">
        <v>164</v>
      </c>
      <c r="G900" t="s">
        <v>165</v>
      </c>
      <c r="I900">
        <v>2200000286</v>
      </c>
      <c r="P900" t="s">
        <v>72</v>
      </c>
      <c r="Q900">
        <v>300</v>
      </c>
    </row>
    <row r="901" spans="3:17">
      <c r="C901" t="s">
        <v>68</v>
      </c>
      <c r="D901" t="s">
        <v>69</v>
      </c>
      <c r="E901" t="s">
        <v>164</v>
      </c>
      <c r="G901" t="s">
        <v>166</v>
      </c>
      <c r="I901">
        <v>2200000281</v>
      </c>
      <c r="P901" t="s">
        <v>72</v>
      </c>
      <c r="Q901">
        <v>250</v>
      </c>
    </row>
    <row r="902" spans="3:17">
      <c r="C902" t="s">
        <v>68</v>
      </c>
      <c r="D902" t="s">
        <v>69</v>
      </c>
      <c r="E902" t="s">
        <v>288</v>
      </c>
      <c r="G902" t="s">
        <v>181</v>
      </c>
      <c r="I902">
        <v>2200000244</v>
      </c>
      <c r="P902" t="s">
        <v>72</v>
      </c>
      <c r="Q902">
        <v>150</v>
      </c>
    </row>
    <row r="903" spans="3:17">
      <c r="C903" t="s">
        <v>68</v>
      </c>
      <c r="D903" t="s">
        <v>69</v>
      </c>
      <c r="E903" t="s">
        <v>779</v>
      </c>
      <c r="G903" t="s">
        <v>355</v>
      </c>
      <c r="I903">
        <v>2200000054</v>
      </c>
      <c r="P903" t="s">
        <v>72</v>
      </c>
      <c r="Q903">
        <v>300</v>
      </c>
    </row>
    <row r="904" spans="3:17">
      <c r="C904" t="s">
        <v>68</v>
      </c>
      <c r="D904" t="s">
        <v>69</v>
      </c>
      <c r="E904" t="s">
        <v>779</v>
      </c>
      <c r="G904" t="s">
        <v>356</v>
      </c>
      <c r="I904">
        <v>2200000067</v>
      </c>
      <c r="P904" t="s">
        <v>72</v>
      </c>
      <c r="Q904">
        <v>300</v>
      </c>
    </row>
    <row r="905" spans="3:17">
      <c r="C905" t="s">
        <v>68</v>
      </c>
      <c r="D905" t="s">
        <v>69</v>
      </c>
      <c r="E905" t="s">
        <v>779</v>
      </c>
      <c r="G905" t="s">
        <v>178</v>
      </c>
      <c r="I905">
        <v>2200000077</v>
      </c>
      <c r="P905" t="s">
        <v>662</v>
      </c>
      <c r="Q905">
        <v>50</v>
      </c>
    </row>
    <row r="906" spans="3:17">
      <c r="C906" t="s">
        <v>68</v>
      </c>
      <c r="D906" t="s">
        <v>69</v>
      </c>
      <c r="E906" t="s">
        <v>779</v>
      </c>
      <c r="G906" t="s">
        <v>349</v>
      </c>
      <c r="I906">
        <v>2200000103</v>
      </c>
      <c r="P906" t="s">
        <v>662</v>
      </c>
      <c r="Q906">
        <v>300</v>
      </c>
    </row>
    <row r="907" spans="3:17">
      <c r="C907" t="s">
        <v>68</v>
      </c>
      <c r="D907" t="s">
        <v>69</v>
      </c>
      <c r="E907" t="s">
        <v>779</v>
      </c>
      <c r="G907" t="s">
        <v>350</v>
      </c>
      <c r="I907">
        <v>2200000120</v>
      </c>
      <c r="P907" t="s">
        <v>72</v>
      </c>
      <c r="Q907">
        <v>100</v>
      </c>
    </row>
    <row r="908" spans="3:17">
      <c r="C908" t="s">
        <v>68</v>
      </c>
      <c r="D908" t="s">
        <v>69</v>
      </c>
      <c r="E908" t="s">
        <v>779</v>
      </c>
      <c r="G908" t="s">
        <v>185</v>
      </c>
      <c r="I908">
        <v>2200000135</v>
      </c>
      <c r="P908" t="s">
        <v>72</v>
      </c>
      <c r="Q908">
        <v>300</v>
      </c>
    </row>
    <row r="909" spans="3:17">
      <c r="C909" t="s">
        <v>68</v>
      </c>
      <c r="D909" t="s">
        <v>69</v>
      </c>
      <c r="E909" t="s">
        <v>779</v>
      </c>
      <c r="G909" t="s">
        <v>188</v>
      </c>
      <c r="I909">
        <v>2200000186</v>
      </c>
      <c r="P909" t="s">
        <v>72</v>
      </c>
      <c r="Q909">
        <v>300</v>
      </c>
    </row>
    <row r="910" spans="3:17">
      <c r="C910" t="s">
        <v>68</v>
      </c>
      <c r="D910" t="s">
        <v>69</v>
      </c>
      <c r="E910" t="s">
        <v>779</v>
      </c>
      <c r="G910" t="s">
        <v>351</v>
      </c>
      <c r="I910">
        <v>2200000212</v>
      </c>
      <c r="P910" t="s">
        <v>72</v>
      </c>
      <c r="Q910">
        <v>300</v>
      </c>
    </row>
    <row r="911" spans="3:17">
      <c r="C911" t="s">
        <v>68</v>
      </c>
      <c r="D911" t="s">
        <v>69</v>
      </c>
      <c r="E911" t="s">
        <v>779</v>
      </c>
      <c r="G911" t="s">
        <v>178</v>
      </c>
      <c r="I911">
        <v>2200000290</v>
      </c>
      <c r="P911" t="s">
        <v>662</v>
      </c>
      <c r="Q911">
        <v>250</v>
      </c>
    </row>
    <row r="912" spans="3:17">
      <c r="C912" t="s">
        <v>68</v>
      </c>
      <c r="D912" t="s">
        <v>69</v>
      </c>
      <c r="E912" t="s">
        <v>779</v>
      </c>
      <c r="G912" t="s">
        <v>175</v>
      </c>
      <c r="I912">
        <v>2200000485</v>
      </c>
      <c r="P912" t="s">
        <v>72</v>
      </c>
      <c r="Q912">
        <v>50</v>
      </c>
    </row>
    <row r="913" spans="3:17">
      <c r="C913" t="s">
        <v>417</v>
      </c>
      <c r="D913" t="s">
        <v>682</v>
      </c>
      <c r="E913" t="s">
        <v>711</v>
      </c>
      <c r="G913" t="s">
        <v>744</v>
      </c>
      <c r="I913">
        <v>2200000320</v>
      </c>
      <c r="P913" t="s">
        <v>73</v>
      </c>
      <c r="Q913">
        <v>150</v>
      </c>
    </row>
    <row r="914" spans="3:17">
      <c r="C914" t="s">
        <v>68</v>
      </c>
      <c r="D914" t="s">
        <v>69</v>
      </c>
      <c r="E914" t="s">
        <v>277</v>
      </c>
      <c r="G914" t="s">
        <v>282</v>
      </c>
      <c r="I914">
        <v>2200000184</v>
      </c>
      <c r="P914" t="s">
        <v>72</v>
      </c>
      <c r="Q914">
        <v>300</v>
      </c>
    </row>
    <row r="915" spans="3:17">
      <c r="C915" t="s">
        <v>68</v>
      </c>
      <c r="D915" t="s">
        <v>69</v>
      </c>
      <c r="E915" t="s">
        <v>277</v>
      </c>
      <c r="G915" t="s">
        <v>283</v>
      </c>
      <c r="I915">
        <v>2200000221</v>
      </c>
      <c r="P915" t="s">
        <v>72</v>
      </c>
      <c r="Q915">
        <v>100</v>
      </c>
    </row>
    <row r="916" spans="3:17">
      <c r="C916" t="s">
        <v>68</v>
      </c>
      <c r="D916" t="s">
        <v>69</v>
      </c>
      <c r="E916" t="s">
        <v>288</v>
      </c>
      <c r="G916" t="s">
        <v>291</v>
      </c>
      <c r="I916">
        <v>2200000013</v>
      </c>
      <c r="P916" t="s">
        <v>72</v>
      </c>
      <c r="Q916">
        <v>50</v>
      </c>
    </row>
    <row r="917" spans="3:17">
      <c r="C917" t="s">
        <v>68</v>
      </c>
      <c r="D917" t="s">
        <v>69</v>
      </c>
      <c r="E917" t="s">
        <v>288</v>
      </c>
      <c r="G917" t="s">
        <v>292</v>
      </c>
      <c r="I917">
        <v>2200000210</v>
      </c>
      <c r="P917" t="s">
        <v>72</v>
      </c>
      <c r="Q917">
        <v>300</v>
      </c>
    </row>
    <row r="918" spans="3:17">
      <c r="C918" t="s">
        <v>68</v>
      </c>
      <c r="D918" t="s">
        <v>69</v>
      </c>
      <c r="E918" t="s">
        <v>288</v>
      </c>
      <c r="G918" t="s">
        <v>291</v>
      </c>
      <c r="I918">
        <v>2200000254</v>
      </c>
      <c r="P918" t="s">
        <v>72</v>
      </c>
      <c r="Q918">
        <v>600</v>
      </c>
    </row>
    <row r="919" spans="3:17">
      <c r="C919" t="s">
        <v>68</v>
      </c>
      <c r="D919" t="s">
        <v>69</v>
      </c>
      <c r="E919" t="s">
        <v>288</v>
      </c>
      <c r="G919" t="s">
        <v>178</v>
      </c>
      <c r="I919">
        <v>2200000289</v>
      </c>
      <c r="P919" t="s">
        <v>72</v>
      </c>
      <c r="Q919">
        <v>300</v>
      </c>
    </row>
    <row r="920" spans="3:17">
      <c r="C920" t="s">
        <v>68</v>
      </c>
      <c r="D920" t="s">
        <v>69</v>
      </c>
      <c r="E920" t="s">
        <v>288</v>
      </c>
      <c r="G920" t="s">
        <v>293</v>
      </c>
      <c r="I920">
        <v>2200000306</v>
      </c>
      <c r="P920" t="s">
        <v>72</v>
      </c>
      <c r="Q920">
        <v>250</v>
      </c>
    </row>
    <row r="921" spans="3:17">
      <c r="C921" t="s">
        <v>68</v>
      </c>
      <c r="D921" t="s">
        <v>69</v>
      </c>
      <c r="E921" t="s">
        <v>288</v>
      </c>
      <c r="G921" t="s">
        <v>181</v>
      </c>
      <c r="I921">
        <v>2200000308</v>
      </c>
      <c r="P921" t="s">
        <v>72</v>
      </c>
      <c r="Q921">
        <v>700</v>
      </c>
    </row>
    <row r="922" spans="3:17">
      <c r="C922" t="s">
        <v>68</v>
      </c>
      <c r="D922" t="s">
        <v>69</v>
      </c>
      <c r="E922" t="s">
        <v>288</v>
      </c>
      <c r="G922" t="s">
        <v>294</v>
      </c>
      <c r="I922">
        <v>2200000334</v>
      </c>
      <c r="P922" t="s">
        <v>72</v>
      </c>
      <c r="Q922">
        <v>300</v>
      </c>
    </row>
    <row r="923" spans="3:17">
      <c r="C923" t="s">
        <v>68</v>
      </c>
      <c r="D923" t="s">
        <v>69</v>
      </c>
      <c r="E923" t="s">
        <v>288</v>
      </c>
      <c r="G923" t="s">
        <v>295</v>
      </c>
      <c r="I923">
        <v>2200000319</v>
      </c>
      <c r="P923" t="s">
        <v>72</v>
      </c>
      <c r="Q923">
        <v>300</v>
      </c>
    </row>
    <row r="924" spans="3:17">
      <c r="C924" t="s">
        <v>68</v>
      </c>
      <c r="D924" t="s">
        <v>69</v>
      </c>
      <c r="E924" t="s">
        <v>288</v>
      </c>
      <c r="G924" t="s">
        <v>290</v>
      </c>
      <c r="I924">
        <v>2200000333</v>
      </c>
      <c r="P924" t="s">
        <v>72</v>
      </c>
      <c r="Q924">
        <v>300</v>
      </c>
    </row>
    <row r="925" spans="3:17">
      <c r="C925" t="s">
        <v>68</v>
      </c>
      <c r="D925" t="s">
        <v>69</v>
      </c>
      <c r="E925" t="s">
        <v>288</v>
      </c>
      <c r="G925" t="s">
        <v>296</v>
      </c>
      <c r="I925">
        <v>2200000343</v>
      </c>
      <c r="P925" t="s">
        <v>72</v>
      </c>
      <c r="Q925">
        <v>300</v>
      </c>
    </row>
    <row r="926" spans="3:17">
      <c r="C926" t="s">
        <v>68</v>
      </c>
      <c r="D926" t="s">
        <v>69</v>
      </c>
      <c r="E926" t="s">
        <v>288</v>
      </c>
      <c r="G926" t="s">
        <v>297</v>
      </c>
      <c r="I926">
        <v>2200000344</v>
      </c>
      <c r="P926" t="s">
        <v>72</v>
      </c>
      <c r="Q926">
        <v>300</v>
      </c>
    </row>
    <row r="927" spans="3:17">
      <c r="C927" t="s">
        <v>68</v>
      </c>
      <c r="D927" t="s">
        <v>69</v>
      </c>
      <c r="E927" t="s">
        <v>288</v>
      </c>
      <c r="G927" t="s">
        <v>181</v>
      </c>
      <c r="I927">
        <v>2200000373</v>
      </c>
      <c r="P927" t="s">
        <v>72</v>
      </c>
      <c r="Q927">
        <v>400</v>
      </c>
    </row>
    <row r="928" spans="3:17">
      <c r="C928" t="s">
        <v>68</v>
      </c>
      <c r="D928" t="s">
        <v>69</v>
      </c>
      <c r="E928" t="s">
        <v>288</v>
      </c>
      <c r="G928" t="s">
        <v>181</v>
      </c>
      <c r="I928">
        <v>2200000358</v>
      </c>
      <c r="P928" t="s">
        <v>72</v>
      </c>
      <c r="Q928">
        <v>250</v>
      </c>
    </row>
    <row r="929" spans="3:17">
      <c r="C929" t="s">
        <v>68</v>
      </c>
      <c r="D929" t="s">
        <v>69</v>
      </c>
      <c r="E929" t="s">
        <v>288</v>
      </c>
      <c r="G929" t="s">
        <v>289</v>
      </c>
      <c r="I929">
        <v>2200000423</v>
      </c>
      <c r="P929" t="s">
        <v>72</v>
      </c>
      <c r="Q929">
        <v>1000</v>
      </c>
    </row>
    <row r="930" spans="3:17">
      <c r="C930" t="s">
        <v>68</v>
      </c>
      <c r="D930" t="s">
        <v>69</v>
      </c>
      <c r="E930" t="s">
        <v>288</v>
      </c>
      <c r="G930" t="s">
        <v>181</v>
      </c>
      <c r="I930">
        <v>2200000420</v>
      </c>
      <c r="P930" t="s">
        <v>72</v>
      </c>
      <c r="Q930">
        <v>1000</v>
      </c>
    </row>
    <row r="931" spans="3:17">
      <c r="C931" t="s">
        <v>525</v>
      </c>
      <c r="D931" t="s">
        <v>526</v>
      </c>
      <c r="E931" t="s">
        <v>527</v>
      </c>
      <c r="G931" t="s">
        <v>532</v>
      </c>
      <c r="I931">
        <v>2200000634</v>
      </c>
      <c r="P931" t="s">
        <v>72</v>
      </c>
      <c r="Q931">
        <v>600</v>
      </c>
    </row>
    <row r="932" spans="3:17">
      <c r="C932" t="s">
        <v>525</v>
      </c>
      <c r="D932" t="s">
        <v>526</v>
      </c>
      <c r="E932" t="s">
        <v>527</v>
      </c>
      <c r="G932" t="s">
        <v>304</v>
      </c>
      <c r="I932">
        <v>2200000658</v>
      </c>
      <c r="P932" t="s">
        <v>73</v>
      </c>
      <c r="Q932">
        <v>99</v>
      </c>
    </row>
    <row r="933" spans="3:17">
      <c r="C933" t="s">
        <v>525</v>
      </c>
      <c r="D933" t="s">
        <v>526</v>
      </c>
      <c r="E933" t="s">
        <v>527</v>
      </c>
      <c r="G933" t="s">
        <v>529</v>
      </c>
      <c r="I933">
        <v>2200000729</v>
      </c>
      <c r="P933" t="s">
        <v>72</v>
      </c>
      <c r="Q933">
        <v>100</v>
      </c>
    </row>
    <row r="934" spans="3:17">
      <c r="C934" t="s">
        <v>525</v>
      </c>
      <c r="D934" t="s">
        <v>526</v>
      </c>
      <c r="E934" t="s">
        <v>527</v>
      </c>
      <c r="G934" t="s">
        <v>530</v>
      </c>
      <c r="I934">
        <v>2200000783</v>
      </c>
      <c r="P934" t="s">
        <v>73</v>
      </c>
      <c r="Q934">
        <v>99</v>
      </c>
    </row>
    <row r="935" spans="3:17">
      <c r="C935" t="s">
        <v>525</v>
      </c>
      <c r="D935" t="s">
        <v>526</v>
      </c>
      <c r="E935" t="s">
        <v>527</v>
      </c>
      <c r="G935" t="s">
        <v>529</v>
      </c>
      <c r="I935">
        <v>2200000808</v>
      </c>
      <c r="P935" t="s">
        <v>73</v>
      </c>
      <c r="Q935">
        <v>50</v>
      </c>
    </row>
    <row r="936" spans="3:17">
      <c r="C936" t="s">
        <v>525</v>
      </c>
      <c r="D936" t="s">
        <v>526</v>
      </c>
      <c r="E936" t="s">
        <v>527</v>
      </c>
      <c r="G936" t="s">
        <v>383</v>
      </c>
      <c r="I936">
        <v>2200000981</v>
      </c>
      <c r="P936" t="s">
        <v>73</v>
      </c>
      <c r="Q936">
        <v>75.599999999999994</v>
      </c>
    </row>
    <row r="937" spans="3:17">
      <c r="C937" t="s">
        <v>525</v>
      </c>
      <c r="D937" t="s">
        <v>526</v>
      </c>
      <c r="E937" t="s">
        <v>527</v>
      </c>
      <c r="G937" t="s">
        <v>791</v>
      </c>
      <c r="I937">
        <v>2200001070</v>
      </c>
      <c r="P937" t="s">
        <v>73</v>
      </c>
      <c r="Q937">
        <v>36</v>
      </c>
    </row>
    <row r="938" spans="3:17">
      <c r="C938" t="s">
        <v>525</v>
      </c>
      <c r="D938" t="s">
        <v>526</v>
      </c>
      <c r="E938" t="s">
        <v>658</v>
      </c>
      <c r="G938" t="s">
        <v>792</v>
      </c>
      <c r="I938">
        <v>2200000048</v>
      </c>
      <c r="P938" t="s">
        <v>72</v>
      </c>
      <c r="Q938">
        <v>3325</v>
      </c>
    </row>
    <row r="939" spans="3:17">
      <c r="C939" t="s">
        <v>525</v>
      </c>
      <c r="D939" t="s">
        <v>526</v>
      </c>
      <c r="E939" t="s">
        <v>658</v>
      </c>
      <c r="G939" t="s">
        <v>181</v>
      </c>
      <c r="I939">
        <v>2200000093</v>
      </c>
      <c r="P939" t="s">
        <v>72</v>
      </c>
      <c r="Q939">
        <v>1995</v>
      </c>
    </row>
    <row r="940" spans="3:17">
      <c r="C940" t="s">
        <v>525</v>
      </c>
      <c r="D940" t="s">
        <v>526</v>
      </c>
      <c r="E940" t="s">
        <v>660</v>
      </c>
      <c r="G940" t="s">
        <v>562</v>
      </c>
      <c r="I940">
        <v>1200003953</v>
      </c>
      <c r="P940" t="s">
        <v>72</v>
      </c>
      <c r="Q940">
        <v>390</v>
      </c>
    </row>
    <row r="941" spans="3:17">
      <c r="C941" t="s">
        <v>525</v>
      </c>
      <c r="D941" t="s">
        <v>526</v>
      </c>
      <c r="E941" t="s">
        <v>660</v>
      </c>
      <c r="G941" t="s">
        <v>563</v>
      </c>
      <c r="I941">
        <v>330700007</v>
      </c>
      <c r="P941" t="s">
        <v>72</v>
      </c>
      <c r="Q941">
        <v>300</v>
      </c>
    </row>
    <row r="942" spans="3:17">
      <c r="C942" t="s">
        <v>525</v>
      </c>
      <c r="D942" t="s">
        <v>526</v>
      </c>
      <c r="E942" t="s">
        <v>567</v>
      </c>
      <c r="G942" t="s">
        <v>569</v>
      </c>
      <c r="I942">
        <v>230700010</v>
      </c>
      <c r="P942" t="s">
        <v>72</v>
      </c>
      <c r="Q942">
        <v>1200</v>
      </c>
    </row>
    <row r="943" spans="3:17">
      <c r="C943" t="s">
        <v>525</v>
      </c>
      <c r="D943" t="s">
        <v>526</v>
      </c>
      <c r="E943" t="s">
        <v>570</v>
      </c>
      <c r="G943" t="s">
        <v>554</v>
      </c>
      <c r="I943">
        <v>230700013</v>
      </c>
      <c r="P943" t="s">
        <v>662</v>
      </c>
      <c r="Q943">
        <v>1250</v>
      </c>
    </row>
    <row r="944" spans="3:17">
      <c r="C944" t="s">
        <v>525</v>
      </c>
      <c r="D944" t="s">
        <v>526</v>
      </c>
      <c r="E944" t="s">
        <v>570</v>
      </c>
      <c r="G944" t="s">
        <v>571</v>
      </c>
      <c r="I944">
        <v>230700015</v>
      </c>
      <c r="P944" t="s">
        <v>72</v>
      </c>
      <c r="Q944">
        <v>600</v>
      </c>
    </row>
    <row r="945" spans="3:17">
      <c r="C945" t="s">
        <v>525</v>
      </c>
      <c r="D945" t="s">
        <v>526</v>
      </c>
      <c r="E945" t="s">
        <v>572</v>
      </c>
      <c r="G945" t="s">
        <v>577</v>
      </c>
      <c r="I945">
        <v>2200000639</v>
      </c>
      <c r="P945" t="s">
        <v>72</v>
      </c>
      <c r="Q945">
        <v>350</v>
      </c>
    </row>
    <row r="946" spans="3:17">
      <c r="C946" t="s">
        <v>525</v>
      </c>
      <c r="D946" t="s">
        <v>526</v>
      </c>
      <c r="E946" t="s">
        <v>572</v>
      </c>
      <c r="G946" t="s">
        <v>578</v>
      </c>
      <c r="I946">
        <v>2200000673</v>
      </c>
      <c r="P946" t="s">
        <v>662</v>
      </c>
      <c r="Q946" t="s">
        <v>579</v>
      </c>
    </row>
    <row r="947" spans="3:17">
      <c r="C947" t="s">
        <v>525</v>
      </c>
      <c r="D947" t="s">
        <v>526</v>
      </c>
      <c r="E947" t="s">
        <v>793</v>
      </c>
      <c r="G947" t="s">
        <v>289</v>
      </c>
      <c r="I947">
        <v>2200000204</v>
      </c>
      <c r="P947" t="s">
        <v>72</v>
      </c>
      <c r="Q947">
        <v>360</v>
      </c>
    </row>
    <row r="948" spans="3:17">
      <c r="C948" t="s">
        <v>525</v>
      </c>
      <c r="D948" t="s">
        <v>526</v>
      </c>
      <c r="E948" t="s">
        <v>794</v>
      </c>
      <c r="G948" t="s">
        <v>352</v>
      </c>
      <c r="I948">
        <v>2200000288</v>
      </c>
      <c r="P948" t="s">
        <v>662</v>
      </c>
      <c r="Q948">
        <v>314</v>
      </c>
    </row>
    <row r="949" spans="3:17">
      <c r="C949" t="s">
        <v>525</v>
      </c>
      <c r="D949" t="s">
        <v>526</v>
      </c>
      <c r="E949" t="s">
        <v>794</v>
      </c>
      <c r="G949" t="s">
        <v>353</v>
      </c>
      <c r="I949">
        <v>2200000321</v>
      </c>
      <c r="P949" t="s">
        <v>662</v>
      </c>
      <c r="Q949">
        <v>362</v>
      </c>
    </row>
    <row r="950" spans="3:17">
      <c r="C950" t="s">
        <v>525</v>
      </c>
      <c r="D950" t="s">
        <v>526</v>
      </c>
      <c r="E950" t="s">
        <v>794</v>
      </c>
      <c r="G950" t="s">
        <v>534</v>
      </c>
      <c r="I950">
        <v>2200000389</v>
      </c>
      <c r="P950" t="s">
        <v>795</v>
      </c>
      <c r="Q950" t="s">
        <v>796</v>
      </c>
    </row>
    <row r="951" spans="3:17">
      <c r="C951" t="s">
        <v>525</v>
      </c>
      <c r="D951" t="s">
        <v>526</v>
      </c>
      <c r="E951" t="s">
        <v>794</v>
      </c>
      <c r="G951" t="s">
        <v>178</v>
      </c>
      <c r="I951">
        <v>2200000444</v>
      </c>
      <c r="P951" t="s">
        <v>72</v>
      </c>
      <c r="Q951">
        <v>100</v>
      </c>
    </row>
    <row r="952" spans="3:17">
      <c r="C952" t="s">
        <v>525</v>
      </c>
      <c r="D952" t="s">
        <v>526</v>
      </c>
      <c r="E952" t="s">
        <v>794</v>
      </c>
      <c r="G952" t="s">
        <v>178</v>
      </c>
      <c r="I952">
        <v>2200000537</v>
      </c>
      <c r="P952" t="s">
        <v>72</v>
      </c>
      <c r="Q952">
        <v>300</v>
      </c>
    </row>
    <row r="953" spans="3:17">
      <c r="C953" t="s">
        <v>68</v>
      </c>
      <c r="D953" t="s">
        <v>69</v>
      </c>
      <c r="E953" t="s">
        <v>306</v>
      </c>
      <c r="G953" t="s">
        <v>169</v>
      </c>
      <c r="I953">
        <v>2200000387</v>
      </c>
      <c r="P953" t="s">
        <v>72</v>
      </c>
      <c r="Q953">
        <v>600</v>
      </c>
    </row>
    <row r="954" spans="3:17">
      <c r="C954" t="s">
        <v>68</v>
      </c>
      <c r="D954" t="s">
        <v>69</v>
      </c>
      <c r="E954" t="s">
        <v>306</v>
      </c>
      <c r="G954" t="s">
        <v>169</v>
      </c>
      <c r="I954">
        <v>2200000396</v>
      </c>
      <c r="P954" t="s">
        <v>72</v>
      </c>
      <c r="Q954">
        <v>250</v>
      </c>
    </row>
    <row r="955" spans="3:17">
      <c r="C955" t="s">
        <v>68</v>
      </c>
      <c r="D955" t="s">
        <v>69</v>
      </c>
      <c r="E955" t="s">
        <v>164</v>
      </c>
      <c r="G955" t="s">
        <v>172</v>
      </c>
      <c r="I955">
        <v>2200000411</v>
      </c>
      <c r="P955" t="s">
        <v>72</v>
      </c>
      <c r="Q955">
        <v>300</v>
      </c>
    </row>
    <row r="956" spans="3:17">
      <c r="C956" t="s">
        <v>68</v>
      </c>
      <c r="D956" t="s">
        <v>69</v>
      </c>
      <c r="E956" t="s">
        <v>164</v>
      </c>
      <c r="G956" t="s">
        <v>167</v>
      </c>
      <c r="I956">
        <v>2200000312</v>
      </c>
      <c r="P956" t="s">
        <v>72</v>
      </c>
      <c r="Q956">
        <v>300</v>
      </c>
    </row>
    <row r="957" spans="3:17">
      <c r="C957" t="s">
        <v>68</v>
      </c>
      <c r="D957" t="s">
        <v>69</v>
      </c>
      <c r="E957" t="s">
        <v>164</v>
      </c>
      <c r="G957" t="s">
        <v>171</v>
      </c>
      <c r="I957">
        <v>2200000316</v>
      </c>
      <c r="P957" t="s">
        <v>72</v>
      </c>
      <c r="Q957">
        <v>300</v>
      </c>
    </row>
    <row r="958" spans="3:17">
      <c r="C958" t="s">
        <v>68</v>
      </c>
      <c r="D958" t="s">
        <v>69</v>
      </c>
      <c r="E958" t="s">
        <v>164</v>
      </c>
      <c r="G958" t="s">
        <v>797</v>
      </c>
      <c r="I958">
        <v>2200000412</v>
      </c>
      <c r="P958" t="s">
        <v>72</v>
      </c>
      <c r="Q958">
        <v>300</v>
      </c>
    </row>
    <row r="959" spans="3:17">
      <c r="C959" t="s">
        <v>68</v>
      </c>
      <c r="D959" t="s">
        <v>69</v>
      </c>
      <c r="E959" t="s">
        <v>164</v>
      </c>
      <c r="G959" t="s">
        <v>174</v>
      </c>
      <c r="I959">
        <v>2200000425</v>
      </c>
      <c r="P959" t="s">
        <v>72</v>
      </c>
      <c r="Q959">
        <v>250</v>
      </c>
    </row>
    <row r="960" spans="3:17">
      <c r="C960" t="s">
        <v>68</v>
      </c>
      <c r="D960" t="s">
        <v>69</v>
      </c>
      <c r="E960" t="s">
        <v>164</v>
      </c>
      <c r="G960" t="s">
        <v>166</v>
      </c>
      <c r="I960">
        <v>2200000492</v>
      </c>
      <c r="P960" t="s">
        <v>72</v>
      </c>
      <c r="Q960">
        <v>300</v>
      </c>
    </row>
    <row r="961" spans="3:17">
      <c r="C961" t="s">
        <v>68</v>
      </c>
      <c r="D961" t="s">
        <v>69</v>
      </c>
      <c r="E961" t="s">
        <v>779</v>
      </c>
      <c r="G961" t="s">
        <v>354</v>
      </c>
      <c r="I961">
        <v>2200000355</v>
      </c>
      <c r="P961" t="s">
        <v>72</v>
      </c>
      <c r="Q961">
        <v>300</v>
      </c>
    </row>
    <row r="962" spans="3:17">
      <c r="C962" t="s">
        <v>68</v>
      </c>
      <c r="D962" t="s">
        <v>69</v>
      </c>
      <c r="E962" t="s">
        <v>779</v>
      </c>
      <c r="G962" t="s">
        <v>181</v>
      </c>
      <c r="I962">
        <v>2200000348</v>
      </c>
      <c r="P962" t="s">
        <v>72</v>
      </c>
      <c r="Q962">
        <v>900</v>
      </c>
    </row>
    <row r="963" spans="3:17">
      <c r="C963" t="s">
        <v>417</v>
      </c>
      <c r="D963" t="s">
        <v>682</v>
      </c>
      <c r="E963" t="s">
        <v>756</v>
      </c>
      <c r="G963" t="s">
        <v>450</v>
      </c>
      <c r="I963">
        <v>2200000422</v>
      </c>
      <c r="P963" t="s">
        <v>662</v>
      </c>
      <c r="Q963" t="s">
        <v>798</v>
      </c>
    </row>
    <row r="964" spans="3:17">
      <c r="C964" t="s">
        <v>68</v>
      </c>
      <c r="D964" t="s">
        <v>69</v>
      </c>
      <c r="E964" t="s">
        <v>675</v>
      </c>
      <c r="G964" t="s">
        <v>273</v>
      </c>
      <c r="I964" t="s">
        <v>799</v>
      </c>
      <c r="P964" t="s">
        <v>72</v>
      </c>
      <c r="Q964">
        <v>200</v>
      </c>
    </row>
    <row r="965" spans="3:17">
      <c r="C965" t="s">
        <v>800</v>
      </c>
      <c r="D965" t="s">
        <v>801</v>
      </c>
      <c r="E965" t="s">
        <v>802</v>
      </c>
      <c r="G965" t="s">
        <v>803</v>
      </c>
      <c r="I965">
        <v>2200000050</v>
      </c>
      <c r="P965" t="s">
        <v>72</v>
      </c>
      <c r="Q965">
        <v>750</v>
      </c>
    </row>
    <row r="966" spans="3:17">
      <c r="C966" t="s">
        <v>525</v>
      </c>
      <c r="D966" t="s">
        <v>656</v>
      </c>
      <c r="E966" t="s">
        <v>804</v>
      </c>
      <c r="G966" t="s">
        <v>178</v>
      </c>
      <c r="I966">
        <v>2200000081</v>
      </c>
      <c r="P966" t="s">
        <v>73</v>
      </c>
      <c r="Q966">
        <v>50</v>
      </c>
    </row>
    <row r="967" spans="3:17">
      <c r="C967" t="s">
        <v>525</v>
      </c>
      <c r="D967" t="s">
        <v>656</v>
      </c>
      <c r="E967" t="s">
        <v>804</v>
      </c>
      <c r="G967" t="s">
        <v>178</v>
      </c>
      <c r="I967">
        <v>2200001036</v>
      </c>
      <c r="P967" t="s">
        <v>73</v>
      </c>
      <c r="Q967">
        <v>160</v>
      </c>
    </row>
    <row r="968" spans="3:17">
      <c r="C968" t="s">
        <v>525</v>
      </c>
      <c r="D968" t="s">
        <v>656</v>
      </c>
      <c r="E968" t="s">
        <v>804</v>
      </c>
      <c r="G968" t="s">
        <v>178</v>
      </c>
      <c r="I968">
        <v>2200001035</v>
      </c>
      <c r="P968" t="s">
        <v>73</v>
      </c>
      <c r="Q968">
        <v>80</v>
      </c>
    </row>
    <row r="969" spans="3:17">
      <c r="C969" t="s">
        <v>68</v>
      </c>
      <c r="D969" t="s">
        <v>69</v>
      </c>
      <c r="E969" t="s">
        <v>779</v>
      </c>
      <c r="G969" t="s">
        <v>347</v>
      </c>
      <c r="I969">
        <v>2200000063</v>
      </c>
      <c r="P969" t="s">
        <v>72</v>
      </c>
      <c r="Q969">
        <v>300</v>
      </c>
    </row>
    <row r="970" spans="3:17">
      <c r="C970" t="s">
        <v>417</v>
      </c>
      <c r="D970" t="s">
        <v>682</v>
      </c>
      <c r="E970" t="s">
        <v>683</v>
      </c>
      <c r="G970" t="s">
        <v>805</v>
      </c>
      <c r="I970">
        <v>251100015</v>
      </c>
      <c r="P970" t="s">
        <v>73</v>
      </c>
      <c r="Q970">
        <v>130</v>
      </c>
    </row>
    <row r="971" spans="3:17">
      <c r="C971" t="s">
        <v>417</v>
      </c>
      <c r="D971" t="s">
        <v>661</v>
      </c>
      <c r="E971" t="s">
        <v>516</v>
      </c>
      <c r="G971" t="s">
        <v>806</v>
      </c>
      <c r="I971">
        <v>2200000698</v>
      </c>
      <c r="P971" t="s">
        <v>73</v>
      </c>
      <c r="Q971">
        <v>80</v>
      </c>
    </row>
    <row r="972" spans="3:17">
      <c r="C972" t="s">
        <v>417</v>
      </c>
      <c r="D972" t="s">
        <v>661</v>
      </c>
      <c r="E972" t="s">
        <v>516</v>
      </c>
      <c r="G972" t="s">
        <v>807</v>
      </c>
      <c r="I972">
        <v>2200000699</v>
      </c>
      <c r="P972" t="s">
        <v>73</v>
      </c>
      <c r="Q972">
        <v>65</v>
      </c>
    </row>
    <row r="973" spans="3:17">
      <c r="C973" t="s">
        <v>417</v>
      </c>
      <c r="D973" t="s">
        <v>682</v>
      </c>
      <c r="E973" t="s">
        <v>725</v>
      </c>
      <c r="G973" t="s">
        <v>808</v>
      </c>
      <c r="I973">
        <v>2200000127</v>
      </c>
      <c r="P973" t="s">
        <v>73</v>
      </c>
      <c r="Q973">
        <v>50</v>
      </c>
    </row>
    <row r="974" spans="3:17">
      <c r="C974" t="s">
        <v>417</v>
      </c>
      <c r="D974" t="s">
        <v>682</v>
      </c>
      <c r="E974" t="s">
        <v>725</v>
      </c>
      <c r="G974" t="s">
        <v>808</v>
      </c>
      <c r="I974">
        <v>2200000282</v>
      </c>
      <c r="P974" t="s">
        <v>73</v>
      </c>
      <c r="Q974">
        <v>50</v>
      </c>
    </row>
    <row r="975" spans="3:17">
      <c r="C975" t="s">
        <v>417</v>
      </c>
      <c r="D975" t="s">
        <v>682</v>
      </c>
      <c r="E975" t="s">
        <v>725</v>
      </c>
      <c r="G975" t="s">
        <v>808</v>
      </c>
      <c r="I975">
        <v>2200000513</v>
      </c>
      <c r="P975" t="s">
        <v>73</v>
      </c>
      <c r="Q975">
        <v>40</v>
      </c>
    </row>
    <row r="976" spans="3:17">
      <c r="C976" t="s">
        <v>417</v>
      </c>
      <c r="D976" t="s">
        <v>809</v>
      </c>
      <c r="E976" t="s">
        <v>444</v>
      </c>
      <c r="G976" t="s">
        <v>450</v>
      </c>
      <c r="I976">
        <v>2200000236</v>
      </c>
      <c r="P976" t="s">
        <v>662</v>
      </c>
      <c r="Q976" t="s">
        <v>452</v>
      </c>
    </row>
    <row r="977" spans="3:17">
      <c r="C977" t="s">
        <v>417</v>
      </c>
      <c r="D977" t="s">
        <v>809</v>
      </c>
      <c r="E977" t="s">
        <v>444</v>
      </c>
      <c r="G977" t="s">
        <v>453</v>
      </c>
      <c r="I977">
        <v>2200000543</v>
      </c>
      <c r="P977" t="s">
        <v>662</v>
      </c>
      <c r="Q977" t="s">
        <v>810</v>
      </c>
    </row>
    <row r="978" spans="3:17">
      <c r="C978" t="s">
        <v>417</v>
      </c>
      <c r="D978" t="s">
        <v>809</v>
      </c>
      <c r="E978" t="s">
        <v>444</v>
      </c>
      <c r="G978" t="s">
        <v>455</v>
      </c>
      <c r="I978">
        <v>2200000544</v>
      </c>
      <c r="P978" t="s">
        <v>662</v>
      </c>
      <c r="Q978" t="s">
        <v>810</v>
      </c>
    </row>
    <row r="979" spans="3:17">
      <c r="C979" t="s">
        <v>525</v>
      </c>
      <c r="D979" t="s">
        <v>526</v>
      </c>
      <c r="E979" t="s">
        <v>572</v>
      </c>
      <c r="G979" t="s">
        <v>583</v>
      </c>
      <c r="I979">
        <v>2200000458</v>
      </c>
      <c r="P979" t="s">
        <v>662</v>
      </c>
      <c r="Q979">
        <v>337.36</v>
      </c>
    </row>
    <row r="980" spans="3:17">
      <c r="C980" t="s">
        <v>525</v>
      </c>
      <c r="D980" t="s">
        <v>526</v>
      </c>
      <c r="E980" t="s">
        <v>572</v>
      </c>
      <c r="G980" t="s">
        <v>583</v>
      </c>
      <c r="I980">
        <v>2200000515</v>
      </c>
      <c r="P980" t="s">
        <v>662</v>
      </c>
      <c r="Q980">
        <v>11.63</v>
      </c>
    </row>
    <row r="981" spans="3:17">
      <c r="C981" t="s">
        <v>525</v>
      </c>
      <c r="D981" t="s">
        <v>591</v>
      </c>
      <c r="E981" t="s">
        <v>788</v>
      </c>
      <c r="G981" t="s">
        <v>598</v>
      </c>
      <c r="I981">
        <v>2200000976</v>
      </c>
      <c r="P981" t="s">
        <v>662</v>
      </c>
      <c r="Q981">
        <v>84</v>
      </c>
    </row>
    <row r="982" spans="3:17">
      <c r="C982" t="s">
        <v>525</v>
      </c>
      <c r="D982" t="s">
        <v>591</v>
      </c>
      <c r="E982" t="s">
        <v>811</v>
      </c>
      <c r="G982" t="s">
        <v>169</v>
      </c>
      <c r="I982">
        <v>2200000924</v>
      </c>
      <c r="P982" t="s">
        <v>72</v>
      </c>
      <c r="Q982">
        <v>150</v>
      </c>
    </row>
    <row r="983" spans="3:17">
      <c r="C983" t="s">
        <v>525</v>
      </c>
      <c r="D983" t="s">
        <v>591</v>
      </c>
      <c r="E983" t="s">
        <v>811</v>
      </c>
      <c r="G983" t="s">
        <v>597</v>
      </c>
      <c r="I983">
        <v>2200000899</v>
      </c>
      <c r="P983" t="s">
        <v>73</v>
      </c>
      <c r="Q983">
        <v>300</v>
      </c>
    </row>
    <row r="984" spans="3:17">
      <c r="C984" t="s">
        <v>68</v>
      </c>
      <c r="D984" t="s">
        <v>410</v>
      </c>
      <c r="E984" t="s">
        <v>411</v>
      </c>
      <c r="G984" t="s">
        <v>412</v>
      </c>
      <c r="I984">
        <v>2200000345</v>
      </c>
      <c r="P984" t="s">
        <v>72</v>
      </c>
      <c r="Q984">
        <v>1200</v>
      </c>
    </row>
    <row r="985" spans="3:17">
      <c r="C985" t="s">
        <v>525</v>
      </c>
      <c r="D985" t="s">
        <v>591</v>
      </c>
      <c r="E985" t="s">
        <v>745</v>
      </c>
      <c r="G985" t="s">
        <v>613</v>
      </c>
      <c r="I985">
        <v>2200000082</v>
      </c>
      <c r="P985" t="s">
        <v>72</v>
      </c>
      <c r="Q985">
        <v>50</v>
      </c>
    </row>
    <row r="986" spans="3:17">
      <c r="C986" t="s">
        <v>525</v>
      </c>
      <c r="D986" t="s">
        <v>591</v>
      </c>
      <c r="E986" t="s">
        <v>745</v>
      </c>
      <c r="G986" t="s">
        <v>178</v>
      </c>
      <c r="I986">
        <v>2200000267</v>
      </c>
      <c r="P986" t="s">
        <v>72</v>
      </c>
      <c r="Q986">
        <v>250</v>
      </c>
    </row>
    <row r="987" spans="3:17">
      <c r="C987" t="s">
        <v>525</v>
      </c>
      <c r="D987" t="s">
        <v>656</v>
      </c>
      <c r="E987" t="s">
        <v>629</v>
      </c>
      <c r="G987" t="s">
        <v>188</v>
      </c>
      <c r="I987">
        <v>2200001437</v>
      </c>
      <c r="P987" t="s">
        <v>73</v>
      </c>
      <c r="Q987">
        <v>100</v>
      </c>
    </row>
    <row r="988" spans="3:17">
      <c r="C988" t="s">
        <v>525</v>
      </c>
      <c r="D988" t="s">
        <v>526</v>
      </c>
      <c r="E988" t="s">
        <v>776</v>
      </c>
      <c r="G988" t="s">
        <v>330</v>
      </c>
      <c r="I988">
        <v>2200000461</v>
      </c>
      <c r="P988" t="s">
        <v>72</v>
      </c>
      <c r="Q988">
        <v>100</v>
      </c>
    </row>
    <row r="989" spans="3:17">
      <c r="C989" t="s">
        <v>525</v>
      </c>
      <c r="D989" t="s">
        <v>591</v>
      </c>
      <c r="E989" t="s">
        <v>618</v>
      </c>
      <c r="G989" t="s">
        <v>654</v>
      </c>
      <c r="I989">
        <v>331300007</v>
      </c>
      <c r="P989" t="s">
        <v>73</v>
      </c>
      <c r="Q989">
        <v>100.8</v>
      </c>
    </row>
    <row r="990" spans="3:17">
      <c r="C990" t="s">
        <v>525</v>
      </c>
      <c r="D990" t="s">
        <v>591</v>
      </c>
      <c r="E990" t="s">
        <v>618</v>
      </c>
      <c r="G990" t="s">
        <v>586</v>
      </c>
      <c r="I990">
        <v>2200000022</v>
      </c>
      <c r="P990" t="s">
        <v>73</v>
      </c>
      <c r="Q990">
        <v>100</v>
      </c>
    </row>
    <row r="991" spans="3:17">
      <c r="C991" t="s">
        <v>525</v>
      </c>
      <c r="D991" t="s">
        <v>591</v>
      </c>
      <c r="E991" t="s">
        <v>618</v>
      </c>
      <c r="G991" t="s">
        <v>345</v>
      </c>
      <c r="I991">
        <v>2200000133</v>
      </c>
      <c r="P991" t="s">
        <v>73</v>
      </c>
      <c r="Q991">
        <v>67.2</v>
      </c>
    </row>
    <row r="992" spans="3:17">
      <c r="C992" t="s">
        <v>525</v>
      </c>
      <c r="D992" t="s">
        <v>656</v>
      </c>
      <c r="E992" t="s">
        <v>758</v>
      </c>
      <c r="G992" t="s">
        <v>178</v>
      </c>
      <c r="I992">
        <v>2200000083</v>
      </c>
      <c r="P992" t="s">
        <v>73</v>
      </c>
      <c r="Q992">
        <v>50</v>
      </c>
    </row>
    <row r="993" spans="3:17">
      <c r="C993" t="s">
        <v>525</v>
      </c>
      <c r="D993" t="s">
        <v>656</v>
      </c>
      <c r="E993" t="s">
        <v>758</v>
      </c>
      <c r="G993" t="s">
        <v>178</v>
      </c>
      <c r="I993">
        <v>2200000132</v>
      </c>
      <c r="P993" t="s">
        <v>662</v>
      </c>
      <c r="Q993" t="s">
        <v>812</v>
      </c>
    </row>
    <row r="994" spans="3:17">
      <c r="C994" t="s">
        <v>525</v>
      </c>
      <c r="D994" t="s">
        <v>656</v>
      </c>
      <c r="E994" t="s">
        <v>758</v>
      </c>
      <c r="G994" t="s">
        <v>645</v>
      </c>
      <c r="I994">
        <v>2200001008</v>
      </c>
      <c r="P994" t="s">
        <v>662</v>
      </c>
      <c r="Q994">
        <v>354</v>
      </c>
    </row>
    <row r="995" spans="3:17">
      <c r="C995" t="s">
        <v>417</v>
      </c>
      <c r="D995" t="s">
        <v>682</v>
      </c>
      <c r="E995" t="s">
        <v>711</v>
      </c>
      <c r="G995" t="s">
        <v>652</v>
      </c>
      <c r="I995">
        <v>2200001082</v>
      </c>
      <c r="P995" t="s">
        <v>72</v>
      </c>
      <c r="Q995">
        <v>350</v>
      </c>
    </row>
    <row r="996" spans="3:17">
      <c r="C996" t="s">
        <v>417</v>
      </c>
      <c r="D996" t="s">
        <v>682</v>
      </c>
      <c r="E996" t="s">
        <v>780</v>
      </c>
      <c r="G996" t="s">
        <v>813</v>
      </c>
      <c r="I996">
        <v>2200000171</v>
      </c>
      <c r="P996" t="s">
        <v>73</v>
      </c>
      <c r="Q996">
        <v>300</v>
      </c>
    </row>
    <row r="997" spans="3:17">
      <c r="C997" t="s">
        <v>417</v>
      </c>
      <c r="D997" t="s">
        <v>682</v>
      </c>
      <c r="E997" t="s">
        <v>780</v>
      </c>
      <c r="G997" t="s">
        <v>387</v>
      </c>
      <c r="I997">
        <v>2200000393</v>
      </c>
      <c r="P997" t="s">
        <v>73</v>
      </c>
      <c r="Q997">
        <v>252</v>
      </c>
    </row>
    <row r="998" spans="3:17">
      <c r="C998" t="s">
        <v>417</v>
      </c>
      <c r="D998" t="s">
        <v>682</v>
      </c>
      <c r="E998" t="s">
        <v>780</v>
      </c>
      <c r="G998" t="s">
        <v>487</v>
      </c>
      <c r="I998">
        <v>2200000397</v>
      </c>
      <c r="P998" t="s">
        <v>73</v>
      </c>
      <c r="Q998">
        <v>125</v>
      </c>
    </row>
    <row r="999" spans="3:17">
      <c r="C999" t="s">
        <v>417</v>
      </c>
      <c r="D999" t="s">
        <v>682</v>
      </c>
      <c r="E999" t="s">
        <v>780</v>
      </c>
      <c r="G999" t="s">
        <v>487</v>
      </c>
      <c r="I999">
        <v>2200000429</v>
      </c>
      <c r="P999" t="s">
        <v>73</v>
      </c>
      <c r="Q999">
        <v>175</v>
      </c>
    </row>
    <row r="1000" spans="3:17">
      <c r="C1000" t="s">
        <v>417</v>
      </c>
      <c r="D1000" t="s">
        <v>682</v>
      </c>
      <c r="E1000" t="s">
        <v>780</v>
      </c>
      <c r="G1000" t="s">
        <v>387</v>
      </c>
      <c r="I1000">
        <v>2200000447</v>
      </c>
      <c r="P1000" t="s">
        <v>73</v>
      </c>
      <c r="Q1000">
        <v>50.4</v>
      </c>
    </row>
    <row r="1001" spans="3:17">
      <c r="C1001" t="s">
        <v>417</v>
      </c>
      <c r="D1001" t="s">
        <v>682</v>
      </c>
      <c r="E1001" t="s">
        <v>780</v>
      </c>
      <c r="G1001" t="s">
        <v>488</v>
      </c>
      <c r="I1001">
        <v>2200000584</v>
      </c>
      <c r="P1001" t="s">
        <v>73</v>
      </c>
      <c r="Q1001">
        <v>160</v>
      </c>
    </row>
    <row r="1002" spans="3:17">
      <c r="C1002" t="s">
        <v>417</v>
      </c>
      <c r="D1002" t="s">
        <v>682</v>
      </c>
      <c r="E1002" t="s">
        <v>780</v>
      </c>
      <c r="G1002" t="s">
        <v>491</v>
      </c>
      <c r="I1002">
        <v>2200000687</v>
      </c>
      <c r="P1002" t="s">
        <v>73</v>
      </c>
      <c r="Q1002">
        <v>100</v>
      </c>
    </row>
    <row r="1003" spans="3:17">
      <c r="C1003" t="s">
        <v>417</v>
      </c>
      <c r="D1003" t="s">
        <v>682</v>
      </c>
      <c r="E1003" t="s">
        <v>719</v>
      </c>
      <c r="G1003" t="s">
        <v>387</v>
      </c>
      <c r="I1003">
        <v>2200000045</v>
      </c>
      <c r="P1003" t="s">
        <v>72</v>
      </c>
      <c r="Q1003">
        <v>500</v>
      </c>
    </row>
    <row r="1004" spans="3:17">
      <c r="C1004" t="s">
        <v>417</v>
      </c>
      <c r="D1004" t="s">
        <v>682</v>
      </c>
      <c r="E1004" t="s">
        <v>719</v>
      </c>
      <c r="G1004" t="s">
        <v>178</v>
      </c>
      <c r="I1004">
        <v>2200000199</v>
      </c>
      <c r="P1004" t="s">
        <v>73</v>
      </c>
      <c r="Q1004">
        <v>50</v>
      </c>
    </row>
    <row r="1005" spans="3:17">
      <c r="C1005" t="s">
        <v>417</v>
      </c>
      <c r="D1005" t="s">
        <v>682</v>
      </c>
      <c r="E1005" t="s">
        <v>719</v>
      </c>
      <c r="G1005" t="s">
        <v>178</v>
      </c>
      <c r="I1005">
        <v>2200000385</v>
      </c>
      <c r="P1005" t="s">
        <v>72</v>
      </c>
      <c r="Q1005">
        <v>250</v>
      </c>
    </row>
    <row r="1006" spans="3:17">
      <c r="C1006" t="s">
        <v>417</v>
      </c>
      <c r="D1006" t="s">
        <v>682</v>
      </c>
      <c r="E1006" t="s">
        <v>719</v>
      </c>
      <c r="G1006" t="s">
        <v>181</v>
      </c>
      <c r="I1006">
        <v>2200000434</v>
      </c>
      <c r="P1006" t="s">
        <v>73</v>
      </c>
      <c r="Q1006">
        <v>350</v>
      </c>
    </row>
    <row r="1007" spans="3:17">
      <c r="C1007" t="s">
        <v>525</v>
      </c>
      <c r="D1007" t="s">
        <v>591</v>
      </c>
      <c r="E1007" t="s">
        <v>788</v>
      </c>
      <c r="G1007" t="s">
        <v>598</v>
      </c>
      <c r="I1007">
        <v>2200001214</v>
      </c>
      <c r="P1007" t="s">
        <v>662</v>
      </c>
      <c r="Q1007">
        <v>164</v>
      </c>
    </row>
    <row r="1008" spans="3:17">
      <c r="C1008" t="s">
        <v>525</v>
      </c>
      <c r="D1008" t="s">
        <v>591</v>
      </c>
      <c r="E1008" t="s">
        <v>811</v>
      </c>
      <c r="G1008" t="s">
        <v>650</v>
      </c>
      <c r="I1008">
        <v>2200001192</v>
      </c>
      <c r="P1008" t="s">
        <v>72</v>
      </c>
      <c r="Q1008">
        <v>300</v>
      </c>
    </row>
    <row r="1009" spans="3:17">
      <c r="C1009" t="s">
        <v>525</v>
      </c>
      <c r="D1009" t="s">
        <v>591</v>
      </c>
      <c r="E1009" t="s">
        <v>811</v>
      </c>
      <c r="G1009" t="s">
        <v>652</v>
      </c>
      <c r="I1009">
        <v>2200001289</v>
      </c>
      <c r="P1009" t="s">
        <v>72</v>
      </c>
      <c r="Q1009">
        <v>200</v>
      </c>
    </row>
    <row r="1010" spans="3:17">
      <c r="C1010" t="s">
        <v>68</v>
      </c>
      <c r="D1010" t="s">
        <v>69</v>
      </c>
      <c r="E1010" t="s">
        <v>288</v>
      </c>
      <c r="G1010" t="s">
        <v>290</v>
      </c>
      <c r="I1010">
        <v>2200000419</v>
      </c>
      <c r="P1010" t="s">
        <v>72</v>
      </c>
      <c r="Q1010">
        <v>300</v>
      </c>
    </row>
    <row r="1011" spans="3:17">
      <c r="C1011" t="s">
        <v>417</v>
      </c>
      <c r="D1011" t="s">
        <v>682</v>
      </c>
      <c r="E1011" t="s">
        <v>711</v>
      </c>
      <c r="G1011" t="s">
        <v>814</v>
      </c>
      <c r="I1011">
        <v>2200001321</v>
      </c>
      <c r="P1011" t="s">
        <v>72</v>
      </c>
      <c r="Q1011">
        <v>300</v>
      </c>
    </row>
    <row r="1012" spans="3:17">
      <c r="C1012" t="s">
        <v>417</v>
      </c>
      <c r="D1012" t="s">
        <v>682</v>
      </c>
      <c r="E1012" t="s">
        <v>782</v>
      </c>
      <c r="G1012" t="s">
        <v>218</v>
      </c>
      <c r="I1012">
        <v>2200000660</v>
      </c>
      <c r="P1012" t="s">
        <v>662</v>
      </c>
      <c r="Q1012" t="s">
        <v>502</v>
      </c>
    </row>
    <row r="1013" spans="3:17">
      <c r="C1013" t="s">
        <v>417</v>
      </c>
      <c r="D1013" t="s">
        <v>682</v>
      </c>
      <c r="E1013" t="s">
        <v>782</v>
      </c>
      <c r="G1013" t="s">
        <v>400</v>
      </c>
      <c r="I1013">
        <v>2200000701</v>
      </c>
      <c r="P1013" t="s">
        <v>72</v>
      </c>
      <c r="Q1013">
        <v>300</v>
      </c>
    </row>
    <row r="1014" spans="3:17">
      <c r="C1014" t="s">
        <v>417</v>
      </c>
      <c r="D1014" t="s">
        <v>682</v>
      </c>
      <c r="E1014" t="s">
        <v>782</v>
      </c>
      <c r="G1014" t="s">
        <v>290</v>
      </c>
      <c r="I1014">
        <v>2200000700</v>
      </c>
      <c r="P1014" t="s">
        <v>72</v>
      </c>
      <c r="Q1014">
        <v>300</v>
      </c>
    </row>
    <row r="1015" spans="3:17">
      <c r="C1015" t="s">
        <v>417</v>
      </c>
      <c r="D1015" t="s">
        <v>682</v>
      </c>
      <c r="E1015" t="s">
        <v>782</v>
      </c>
      <c r="G1015" t="s">
        <v>815</v>
      </c>
      <c r="I1015">
        <v>2200000714</v>
      </c>
      <c r="P1015" t="s">
        <v>73</v>
      </c>
      <c r="Q1015">
        <v>350</v>
      </c>
    </row>
    <row r="1016" spans="3:17">
      <c r="C1016" t="s">
        <v>68</v>
      </c>
      <c r="D1016" t="s">
        <v>69</v>
      </c>
      <c r="E1016" t="s">
        <v>191</v>
      </c>
      <c r="G1016" t="s">
        <v>192</v>
      </c>
      <c r="I1016">
        <v>2200001044</v>
      </c>
      <c r="P1016" t="s">
        <v>72</v>
      </c>
      <c r="Q1016">
        <v>50</v>
      </c>
    </row>
    <row r="1017" spans="3:17">
      <c r="C1017" t="s">
        <v>68</v>
      </c>
      <c r="D1017" t="s">
        <v>69</v>
      </c>
      <c r="E1017" t="s">
        <v>306</v>
      </c>
      <c r="G1017" t="s">
        <v>169</v>
      </c>
      <c r="I1017">
        <v>2200001065</v>
      </c>
      <c r="P1017" t="s">
        <v>72</v>
      </c>
      <c r="Q1017">
        <v>150</v>
      </c>
    </row>
    <row r="1018" spans="3:17">
      <c r="C1018" t="s">
        <v>525</v>
      </c>
      <c r="D1018" t="s">
        <v>591</v>
      </c>
      <c r="E1018" t="s">
        <v>788</v>
      </c>
      <c r="G1018" t="s">
        <v>596</v>
      </c>
      <c r="I1018">
        <v>2200001375</v>
      </c>
      <c r="P1018" t="s">
        <v>724</v>
      </c>
      <c r="Q1018">
        <v>512</v>
      </c>
    </row>
    <row r="1019" spans="3:17">
      <c r="C1019" t="s">
        <v>68</v>
      </c>
      <c r="D1019" t="s">
        <v>69</v>
      </c>
      <c r="E1019" t="s">
        <v>816</v>
      </c>
      <c r="G1019" t="s">
        <v>381</v>
      </c>
      <c r="I1019">
        <v>2200000823</v>
      </c>
      <c r="P1019" t="s">
        <v>72</v>
      </c>
      <c r="Q1019">
        <v>300</v>
      </c>
    </row>
    <row r="1020" spans="3:17">
      <c r="C1020" t="s">
        <v>68</v>
      </c>
      <c r="D1020" t="s">
        <v>69</v>
      </c>
      <c r="E1020" t="s">
        <v>399</v>
      </c>
      <c r="G1020" t="s">
        <v>218</v>
      </c>
      <c r="I1020">
        <v>2200000644</v>
      </c>
      <c r="P1020" t="s">
        <v>72</v>
      </c>
      <c r="Q1020">
        <v>300</v>
      </c>
    </row>
    <row r="1021" spans="3:17">
      <c r="C1021" t="s">
        <v>68</v>
      </c>
      <c r="D1021" t="s">
        <v>69</v>
      </c>
      <c r="E1021" t="s">
        <v>399</v>
      </c>
      <c r="G1021" t="s">
        <v>400</v>
      </c>
      <c r="I1021">
        <v>2200000646</v>
      </c>
      <c r="P1021" t="s">
        <v>72</v>
      </c>
      <c r="Q1021">
        <v>300</v>
      </c>
    </row>
    <row r="1022" spans="3:17">
      <c r="C1022" t="s">
        <v>68</v>
      </c>
      <c r="D1022" t="s">
        <v>69</v>
      </c>
      <c r="E1022" t="s">
        <v>399</v>
      </c>
      <c r="G1022" t="s">
        <v>402</v>
      </c>
      <c r="I1022">
        <v>2200000518</v>
      </c>
      <c r="P1022" t="s">
        <v>72</v>
      </c>
      <c r="Q1022">
        <v>300</v>
      </c>
    </row>
    <row r="1023" spans="3:17">
      <c r="C1023" t="s">
        <v>68</v>
      </c>
      <c r="D1023" t="s">
        <v>69</v>
      </c>
      <c r="E1023" t="s">
        <v>399</v>
      </c>
      <c r="G1023" t="s">
        <v>188</v>
      </c>
      <c r="I1023">
        <v>2200000551</v>
      </c>
      <c r="P1023" t="s">
        <v>72</v>
      </c>
      <c r="Q1023">
        <v>400</v>
      </c>
    </row>
    <row r="1024" spans="3:17">
      <c r="C1024" t="s">
        <v>417</v>
      </c>
      <c r="D1024" t="s">
        <v>817</v>
      </c>
      <c r="E1024" t="s">
        <v>818</v>
      </c>
      <c r="G1024" t="s">
        <v>460</v>
      </c>
      <c r="I1024">
        <v>2200000843</v>
      </c>
      <c r="P1024" t="s">
        <v>72</v>
      </c>
      <c r="Q1024">
        <v>300</v>
      </c>
    </row>
    <row r="1025" spans="3:17">
      <c r="C1025" t="s">
        <v>417</v>
      </c>
      <c r="D1025" t="s">
        <v>817</v>
      </c>
      <c r="E1025" t="s">
        <v>818</v>
      </c>
      <c r="G1025" t="s">
        <v>460</v>
      </c>
      <c r="I1025">
        <v>2200000844</v>
      </c>
      <c r="P1025" t="s">
        <v>72</v>
      </c>
      <c r="Q1025">
        <v>300</v>
      </c>
    </row>
    <row r="1026" spans="3:17">
      <c r="C1026" t="s">
        <v>417</v>
      </c>
      <c r="D1026" t="s">
        <v>817</v>
      </c>
      <c r="E1026" t="s">
        <v>818</v>
      </c>
      <c r="G1026" t="s">
        <v>387</v>
      </c>
      <c r="I1026">
        <v>2200000919</v>
      </c>
      <c r="P1026" t="s">
        <v>72</v>
      </c>
      <c r="Q1026">
        <v>400</v>
      </c>
    </row>
    <row r="1027" spans="3:17">
      <c r="C1027" t="s">
        <v>417</v>
      </c>
      <c r="D1027" t="s">
        <v>817</v>
      </c>
      <c r="E1027" t="s">
        <v>818</v>
      </c>
      <c r="G1027" t="s">
        <v>819</v>
      </c>
      <c r="I1027">
        <v>2200000931</v>
      </c>
      <c r="P1027" t="s">
        <v>73</v>
      </c>
      <c r="Q1027">
        <v>230</v>
      </c>
    </row>
    <row r="1028" spans="3:17">
      <c r="C1028" t="s">
        <v>417</v>
      </c>
      <c r="D1028" t="s">
        <v>820</v>
      </c>
      <c r="E1028" t="s">
        <v>668</v>
      </c>
      <c r="G1028" t="s">
        <v>437</v>
      </c>
      <c r="I1028">
        <v>2200000713</v>
      </c>
      <c r="P1028" t="s">
        <v>73</v>
      </c>
      <c r="Q1028">
        <v>350</v>
      </c>
    </row>
    <row r="1029" spans="3:17">
      <c r="C1029" t="s">
        <v>417</v>
      </c>
      <c r="D1029" t="s">
        <v>820</v>
      </c>
      <c r="E1029" t="s">
        <v>444</v>
      </c>
      <c r="G1029" t="s">
        <v>456</v>
      </c>
      <c r="I1029">
        <v>2200000733</v>
      </c>
      <c r="P1029" t="s">
        <v>72</v>
      </c>
      <c r="Q1029">
        <v>800</v>
      </c>
    </row>
    <row r="1030" spans="3:17">
      <c r="C1030" t="s">
        <v>417</v>
      </c>
      <c r="D1030" t="s">
        <v>820</v>
      </c>
      <c r="E1030" t="s">
        <v>444</v>
      </c>
      <c r="G1030" t="s">
        <v>456</v>
      </c>
      <c r="I1030">
        <v>2200000735</v>
      </c>
      <c r="P1030" t="s">
        <v>72</v>
      </c>
      <c r="Q1030">
        <v>900</v>
      </c>
    </row>
    <row r="1031" spans="3:17">
      <c r="C1031" t="s">
        <v>417</v>
      </c>
      <c r="D1031" t="s">
        <v>821</v>
      </c>
      <c r="E1031" t="s">
        <v>822</v>
      </c>
      <c r="G1031" t="s">
        <v>382</v>
      </c>
      <c r="I1031">
        <v>2200001003</v>
      </c>
      <c r="P1031" t="s">
        <v>72</v>
      </c>
      <c r="Q1031">
        <v>500</v>
      </c>
    </row>
    <row r="1032" spans="3:17">
      <c r="C1032" t="s">
        <v>417</v>
      </c>
      <c r="D1032" t="s">
        <v>821</v>
      </c>
      <c r="E1032" t="s">
        <v>822</v>
      </c>
      <c r="G1032" t="s">
        <v>394</v>
      </c>
      <c r="I1032">
        <v>2200001074</v>
      </c>
      <c r="P1032" t="s">
        <v>72</v>
      </c>
      <c r="Q1032">
        <v>500</v>
      </c>
    </row>
    <row r="1033" spans="3:17">
      <c r="C1033" t="s">
        <v>417</v>
      </c>
      <c r="D1033" t="s">
        <v>821</v>
      </c>
      <c r="E1033" t="s">
        <v>822</v>
      </c>
      <c r="G1033" t="s">
        <v>218</v>
      </c>
      <c r="I1033">
        <v>2200001077</v>
      </c>
      <c r="P1033" t="s">
        <v>662</v>
      </c>
      <c r="Q1033">
        <v>432</v>
      </c>
    </row>
    <row r="1034" spans="3:17">
      <c r="C1034" t="s">
        <v>68</v>
      </c>
      <c r="D1034" t="s">
        <v>69</v>
      </c>
      <c r="E1034" t="s">
        <v>164</v>
      </c>
      <c r="G1034" t="s">
        <v>175</v>
      </c>
      <c r="I1034">
        <v>2200000305</v>
      </c>
      <c r="P1034" t="s">
        <v>72</v>
      </c>
      <c r="Q1034">
        <v>300</v>
      </c>
    </row>
    <row r="1035" spans="3:17">
      <c r="C1035" t="s">
        <v>417</v>
      </c>
      <c r="D1035" t="s">
        <v>682</v>
      </c>
      <c r="E1035" t="s">
        <v>756</v>
      </c>
      <c r="G1035" t="s">
        <v>450</v>
      </c>
      <c r="I1035">
        <v>2200000640</v>
      </c>
      <c r="P1035" t="s">
        <v>662</v>
      </c>
      <c r="Q1035" t="s">
        <v>823</v>
      </c>
    </row>
    <row r="1036" spans="3:17">
      <c r="C1036" t="s">
        <v>68</v>
      </c>
      <c r="D1036" t="s">
        <v>69</v>
      </c>
      <c r="E1036" t="s">
        <v>288</v>
      </c>
      <c r="G1036" t="s">
        <v>298</v>
      </c>
      <c r="I1036">
        <v>2200000285</v>
      </c>
      <c r="P1036" t="s">
        <v>72</v>
      </c>
      <c r="Q1036">
        <v>300</v>
      </c>
    </row>
    <row r="1037" spans="3:17">
      <c r="C1037" t="s">
        <v>417</v>
      </c>
      <c r="D1037" t="s">
        <v>682</v>
      </c>
      <c r="E1037" t="s">
        <v>719</v>
      </c>
      <c r="G1037" t="s">
        <v>824</v>
      </c>
      <c r="I1037">
        <v>2200000292</v>
      </c>
      <c r="P1037" t="s">
        <v>662</v>
      </c>
      <c r="Q1037" t="s">
        <v>825</v>
      </c>
    </row>
    <row r="1038" spans="3:17">
      <c r="C1038" t="s">
        <v>417</v>
      </c>
      <c r="D1038" t="s">
        <v>821</v>
      </c>
      <c r="E1038" t="s">
        <v>444</v>
      </c>
      <c r="G1038" t="s">
        <v>446</v>
      </c>
      <c r="I1038">
        <v>2200000229</v>
      </c>
      <c r="P1038" t="s">
        <v>662</v>
      </c>
      <c r="Q1038" t="s">
        <v>826</v>
      </c>
    </row>
    <row r="1039" spans="3:17">
      <c r="C1039" t="s">
        <v>525</v>
      </c>
      <c r="D1039" t="s">
        <v>526</v>
      </c>
      <c r="E1039" t="s">
        <v>572</v>
      </c>
      <c r="G1039" t="s">
        <v>175</v>
      </c>
      <c r="I1039">
        <v>2200000500</v>
      </c>
      <c r="P1039" t="s">
        <v>73</v>
      </c>
      <c r="Q1039">
        <v>150</v>
      </c>
    </row>
    <row r="1040" spans="3:17">
      <c r="C1040" t="s">
        <v>525</v>
      </c>
      <c r="D1040" t="s">
        <v>526</v>
      </c>
      <c r="E1040" t="s">
        <v>572</v>
      </c>
      <c r="G1040" t="s">
        <v>218</v>
      </c>
      <c r="I1040">
        <v>2200000641</v>
      </c>
      <c r="P1040" t="s">
        <v>662</v>
      </c>
      <c r="Q1040" t="s">
        <v>775</v>
      </c>
    </row>
    <row r="1041" spans="3:17">
      <c r="C1041" t="s">
        <v>525</v>
      </c>
      <c r="D1041" t="s">
        <v>591</v>
      </c>
      <c r="E1041" t="s">
        <v>788</v>
      </c>
      <c r="G1041" t="s">
        <v>600</v>
      </c>
      <c r="I1041">
        <v>2200000720</v>
      </c>
      <c r="P1041" t="s">
        <v>662</v>
      </c>
      <c r="Q1041" t="s">
        <v>827</v>
      </c>
    </row>
    <row r="1042" spans="3:17">
      <c r="C1042" t="s">
        <v>525</v>
      </c>
      <c r="D1042" t="s">
        <v>591</v>
      </c>
      <c r="E1042" t="s">
        <v>788</v>
      </c>
      <c r="G1042" t="s">
        <v>602</v>
      </c>
      <c r="I1042">
        <v>2200000798</v>
      </c>
      <c r="P1042" t="s">
        <v>662</v>
      </c>
      <c r="Q1042">
        <v>200</v>
      </c>
    </row>
    <row r="1043" spans="3:17">
      <c r="C1043" t="s">
        <v>525</v>
      </c>
      <c r="D1043" t="s">
        <v>591</v>
      </c>
      <c r="E1043" t="s">
        <v>811</v>
      </c>
      <c r="G1043" t="s">
        <v>181</v>
      </c>
      <c r="I1043">
        <v>2200001301</v>
      </c>
      <c r="P1043" t="s">
        <v>72</v>
      </c>
      <c r="Q1043">
        <v>300</v>
      </c>
    </row>
    <row r="1044" spans="3:17">
      <c r="C1044" t="s">
        <v>68</v>
      </c>
      <c r="D1044" t="s">
        <v>69</v>
      </c>
      <c r="E1044" t="s">
        <v>816</v>
      </c>
      <c r="G1044" t="s">
        <v>382</v>
      </c>
      <c r="I1044">
        <v>2200000840</v>
      </c>
      <c r="P1044" t="s">
        <v>72</v>
      </c>
      <c r="Q1044">
        <v>300</v>
      </c>
    </row>
    <row r="1045" spans="3:17">
      <c r="C1045" t="s">
        <v>68</v>
      </c>
      <c r="D1045" t="s">
        <v>69</v>
      </c>
      <c r="E1045" t="s">
        <v>816</v>
      </c>
      <c r="G1045" t="s">
        <v>383</v>
      </c>
      <c r="I1045">
        <v>2200000848</v>
      </c>
      <c r="P1045" t="s">
        <v>72</v>
      </c>
      <c r="Q1045">
        <v>300</v>
      </c>
    </row>
    <row r="1046" spans="3:17">
      <c r="C1046" t="s">
        <v>525</v>
      </c>
      <c r="D1046" t="s">
        <v>591</v>
      </c>
      <c r="E1046" t="s">
        <v>605</v>
      </c>
      <c r="G1046" t="s">
        <v>178</v>
      </c>
      <c r="I1046">
        <v>2200000728</v>
      </c>
      <c r="P1046" t="s">
        <v>72</v>
      </c>
      <c r="Q1046">
        <v>500</v>
      </c>
    </row>
    <row r="1047" spans="3:17">
      <c r="C1047" t="s">
        <v>525</v>
      </c>
      <c r="D1047" t="s">
        <v>591</v>
      </c>
      <c r="E1047" t="s">
        <v>605</v>
      </c>
      <c r="G1047" t="s">
        <v>178</v>
      </c>
      <c r="I1047">
        <v>2200000938</v>
      </c>
      <c r="P1047" t="s">
        <v>72</v>
      </c>
      <c r="Q1047">
        <v>500</v>
      </c>
    </row>
    <row r="1048" spans="3:17">
      <c r="C1048" t="s">
        <v>525</v>
      </c>
      <c r="D1048" t="s">
        <v>591</v>
      </c>
      <c r="E1048" t="s">
        <v>745</v>
      </c>
      <c r="G1048" t="s">
        <v>496</v>
      </c>
      <c r="I1048">
        <v>2200000617</v>
      </c>
      <c r="P1048" t="s">
        <v>72</v>
      </c>
      <c r="Q1048">
        <v>300</v>
      </c>
    </row>
    <row r="1049" spans="3:17">
      <c r="C1049" t="s">
        <v>525</v>
      </c>
      <c r="D1049" t="s">
        <v>591</v>
      </c>
      <c r="E1049" t="s">
        <v>828</v>
      </c>
      <c r="G1049" t="s">
        <v>178</v>
      </c>
      <c r="I1049">
        <v>2200000817</v>
      </c>
      <c r="P1049" t="s">
        <v>662</v>
      </c>
      <c r="Q1049">
        <v>334</v>
      </c>
    </row>
    <row r="1050" spans="3:17">
      <c r="C1050" t="s">
        <v>525</v>
      </c>
      <c r="D1050" t="s">
        <v>591</v>
      </c>
      <c r="E1050" t="s">
        <v>828</v>
      </c>
      <c r="G1050" t="s">
        <v>304</v>
      </c>
      <c r="I1050">
        <v>2200000883</v>
      </c>
      <c r="P1050" t="s">
        <v>73</v>
      </c>
      <c r="Q1050">
        <v>297</v>
      </c>
    </row>
    <row r="1051" spans="3:17">
      <c r="C1051" t="s">
        <v>525</v>
      </c>
      <c r="D1051" t="s">
        <v>591</v>
      </c>
      <c r="E1051" t="s">
        <v>828</v>
      </c>
      <c r="G1051" t="s">
        <v>615</v>
      </c>
      <c r="I1051">
        <v>2200000923</v>
      </c>
      <c r="P1051" t="s">
        <v>73</v>
      </c>
      <c r="Q1051">
        <v>100</v>
      </c>
    </row>
    <row r="1052" spans="3:17">
      <c r="C1052" t="s">
        <v>525</v>
      </c>
      <c r="D1052" t="s">
        <v>591</v>
      </c>
      <c r="E1052" t="s">
        <v>828</v>
      </c>
      <c r="G1052" t="s">
        <v>178</v>
      </c>
      <c r="I1052">
        <v>2200000956</v>
      </c>
      <c r="P1052" t="s">
        <v>72</v>
      </c>
      <c r="Q1052">
        <v>240</v>
      </c>
    </row>
    <row r="1053" spans="3:17">
      <c r="C1053" t="s">
        <v>525</v>
      </c>
      <c r="D1053" t="s">
        <v>591</v>
      </c>
      <c r="E1053" t="s">
        <v>828</v>
      </c>
      <c r="G1053" t="s">
        <v>616</v>
      </c>
      <c r="I1053">
        <v>2200000995</v>
      </c>
      <c r="P1053" t="s">
        <v>662</v>
      </c>
      <c r="Q1053">
        <v>140</v>
      </c>
    </row>
    <row r="1054" spans="3:17">
      <c r="C1054" t="s">
        <v>417</v>
      </c>
      <c r="D1054" t="s">
        <v>682</v>
      </c>
      <c r="E1054" t="s">
        <v>784</v>
      </c>
      <c r="G1054" t="s">
        <v>829</v>
      </c>
      <c r="I1054">
        <v>2200001061</v>
      </c>
      <c r="P1054" t="s">
        <v>72</v>
      </c>
      <c r="Q1054">
        <v>300</v>
      </c>
    </row>
    <row r="1055" spans="3:17">
      <c r="C1055" t="s">
        <v>417</v>
      </c>
      <c r="D1055" t="s">
        <v>661</v>
      </c>
      <c r="E1055" t="s">
        <v>716</v>
      </c>
      <c r="G1055" t="s">
        <v>830</v>
      </c>
      <c r="I1055">
        <v>2200001124</v>
      </c>
      <c r="P1055" t="s">
        <v>662</v>
      </c>
      <c r="Q1055">
        <v>220</v>
      </c>
    </row>
    <row r="1056" spans="3:17">
      <c r="C1056" t="s">
        <v>417</v>
      </c>
      <c r="D1056" t="s">
        <v>661</v>
      </c>
      <c r="E1056" t="s">
        <v>716</v>
      </c>
      <c r="G1056" t="s">
        <v>532</v>
      </c>
      <c r="I1056">
        <v>2200001996</v>
      </c>
      <c r="P1056" t="s">
        <v>72</v>
      </c>
      <c r="Q1056">
        <v>200</v>
      </c>
    </row>
    <row r="1057" spans="3:17">
      <c r="C1057" t="s">
        <v>417</v>
      </c>
      <c r="D1057" t="s">
        <v>661</v>
      </c>
      <c r="E1057" t="s">
        <v>716</v>
      </c>
      <c r="G1057" t="s">
        <v>831</v>
      </c>
      <c r="I1057">
        <v>2200002003</v>
      </c>
      <c r="P1057" t="s">
        <v>73</v>
      </c>
      <c r="Q1057">
        <v>50</v>
      </c>
    </row>
    <row r="1058" spans="3:17">
      <c r="C1058" t="s">
        <v>417</v>
      </c>
      <c r="D1058" t="s">
        <v>832</v>
      </c>
      <c r="E1058" t="s">
        <v>822</v>
      </c>
      <c r="G1058" t="s">
        <v>304</v>
      </c>
      <c r="I1058">
        <v>2200000872</v>
      </c>
      <c r="P1058" t="s">
        <v>73</v>
      </c>
      <c r="Q1058">
        <v>349.8</v>
      </c>
    </row>
    <row r="1059" spans="3:17">
      <c r="C1059" t="s">
        <v>417</v>
      </c>
      <c r="D1059" t="s">
        <v>832</v>
      </c>
      <c r="E1059" t="s">
        <v>444</v>
      </c>
      <c r="G1059" t="s">
        <v>456</v>
      </c>
      <c r="I1059">
        <v>2200000736</v>
      </c>
      <c r="P1059" t="s">
        <v>72</v>
      </c>
      <c r="Q1059">
        <v>900</v>
      </c>
    </row>
    <row r="1060" spans="3:17">
      <c r="C1060" t="s">
        <v>68</v>
      </c>
      <c r="D1060" t="s">
        <v>69</v>
      </c>
      <c r="E1060" t="s">
        <v>399</v>
      </c>
      <c r="G1060" t="s">
        <v>401</v>
      </c>
      <c r="I1060">
        <v>2200000758</v>
      </c>
      <c r="P1060" t="s">
        <v>72</v>
      </c>
      <c r="Q1060">
        <v>300</v>
      </c>
    </row>
    <row r="1061" spans="3:17">
      <c r="C1061" t="s">
        <v>417</v>
      </c>
      <c r="D1061" t="s">
        <v>682</v>
      </c>
      <c r="E1061" t="s">
        <v>780</v>
      </c>
      <c r="G1061" t="s">
        <v>280</v>
      </c>
      <c r="I1061">
        <v>2200000586</v>
      </c>
      <c r="P1061" t="s">
        <v>73</v>
      </c>
      <c r="Q1061">
        <v>252</v>
      </c>
    </row>
    <row r="1062" spans="3:17">
      <c r="C1062" t="s">
        <v>525</v>
      </c>
      <c r="D1062" t="s">
        <v>591</v>
      </c>
      <c r="E1062" t="s">
        <v>788</v>
      </c>
      <c r="G1062" t="s">
        <v>604</v>
      </c>
      <c r="I1062">
        <v>2200000752</v>
      </c>
      <c r="P1062" t="s">
        <v>72</v>
      </c>
      <c r="Q1062">
        <v>200</v>
      </c>
    </row>
    <row r="1063" spans="3:17">
      <c r="C1063" t="s">
        <v>68</v>
      </c>
      <c r="D1063" t="s">
        <v>69</v>
      </c>
      <c r="E1063" t="s">
        <v>816</v>
      </c>
      <c r="G1063" t="s">
        <v>833</v>
      </c>
      <c r="I1063">
        <v>2200000812</v>
      </c>
      <c r="P1063" t="s">
        <v>72</v>
      </c>
      <c r="Q1063">
        <v>300</v>
      </c>
    </row>
    <row r="1064" spans="3:17">
      <c r="C1064" t="s">
        <v>68</v>
      </c>
      <c r="D1064" t="s">
        <v>69</v>
      </c>
      <c r="E1064" t="s">
        <v>816</v>
      </c>
      <c r="G1064" t="s">
        <v>384</v>
      </c>
      <c r="I1064">
        <v>2200000813</v>
      </c>
      <c r="P1064" t="s">
        <v>72</v>
      </c>
      <c r="Q1064">
        <v>300</v>
      </c>
    </row>
    <row r="1065" spans="3:17">
      <c r="C1065" t="s">
        <v>68</v>
      </c>
      <c r="D1065" t="s">
        <v>410</v>
      </c>
      <c r="E1065" t="s">
        <v>413</v>
      </c>
      <c r="G1065" t="s">
        <v>414</v>
      </c>
      <c r="I1065">
        <v>2200000524</v>
      </c>
      <c r="P1065" t="s">
        <v>724</v>
      </c>
      <c r="Q1065">
        <v>672</v>
      </c>
    </row>
    <row r="1066" spans="3:17">
      <c r="C1066" t="s">
        <v>68</v>
      </c>
      <c r="D1066" t="s">
        <v>410</v>
      </c>
      <c r="E1066" t="s">
        <v>413</v>
      </c>
      <c r="G1066" t="s">
        <v>414</v>
      </c>
      <c r="I1066">
        <v>2200000525</v>
      </c>
      <c r="P1066" t="s">
        <v>724</v>
      </c>
      <c r="Q1066">
        <v>672</v>
      </c>
    </row>
    <row r="1067" spans="3:17">
      <c r="C1067" t="s">
        <v>68</v>
      </c>
      <c r="D1067" t="s">
        <v>410</v>
      </c>
      <c r="E1067" t="s">
        <v>413</v>
      </c>
      <c r="G1067" t="s">
        <v>414</v>
      </c>
      <c r="I1067">
        <v>2200000526</v>
      </c>
      <c r="P1067" t="s">
        <v>724</v>
      </c>
      <c r="Q1067">
        <v>672</v>
      </c>
    </row>
    <row r="1068" spans="3:17">
      <c r="C1068" t="s">
        <v>417</v>
      </c>
      <c r="D1068" t="s">
        <v>682</v>
      </c>
      <c r="E1068" t="s">
        <v>784</v>
      </c>
      <c r="G1068" t="s">
        <v>440</v>
      </c>
      <c r="I1068">
        <v>2200000999</v>
      </c>
      <c r="P1068" t="s">
        <v>662</v>
      </c>
      <c r="Q1068">
        <v>300</v>
      </c>
    </row>
    <row r="1069" spans="3:17">
      <c r="C1069" t="s">
        <v>68</v>
      </c>
      <c r="D1069" t="s">
        <v>69</v>
      </c>
      <c r="E1069" t="s">
        <v>164</v>
      </c>
      <c r="G1069" t="s">
        <v>176</v>
      </c>
      <c r="I1069">
        <v>2200000410</v>
      </c>
      <c r="P1069" t="s">
        <v>72</v>
      </c>
      <c r="Q1069">
        <v>600</v>
      </c>
    </row>
    <row r="1070" spans="3:17">
      <c r="C1070" t="s">
        <v>68</v>
      </c>
      <c r="D1070" t="s">
        <v>69</v>
      </c>
      <c r="E1070" t="s">
        <v>191</v>
      </c>
      <c r="G1070" t="s">
        <v>193</v>
      </c>
      <c r="I1070">
        <v>2200000437</v>
      </c>
      <c r="P1070" t="s">
        <v>72</v>
      </c>
      <c r="Q1070">
        <v>300</v>
      </c>
    </row>
    <row r="1071" spans="3:17">
      <c r="C1071" t="s">
        <v>417</v>
      </c>
      <c r="D1071" t="s">
        <v>682</v>
      </c>
      <c r="E1071" t="s">
        <v>756</v>
      </c>
      <c r="G1071" t="s">
        <v>482</v>
      </c>
      <c r="I1071">
        <v>2200001001</v>
      </c>
      <c r="P1071" t="s">
        <v>72</v>
      </c>
      <c r="Q1071">
        <v>300</v>
      </c>
    </row>
    <row r="1072" spans="3:17">
      <c r="C1072" t="s">
        <v>417</v>
      </c>
      <c r="D1072" t="s">
        <v>682</v>
      </c>
      <c r="E1072" t="s">
        <v>719</v>
      </c>
      <c r="G1072" t="s">
        <v>176</v>
      </c>
      <c r="I1072">
        <v>2200000435</v>
      </c>
      <c r="P1072" t="s">
        <v>73</v>
      </c>
      <c r="Q1072">
        <v>300</v>
      </c>
    </row>
    <row r="1073" spans="3:17">
      <c r="C1073" t="s">
        <v>525</v>
      </c>
      <c r="D1073" t="s">
        <v>591</v>
      </c>
      <c r="E1073" t="s">
        <v>834</v>
      </c>
      <c r="G1073" t="s">
        <v>835</v>
      </c>
      <c r="I1073">
        <v>2200001356</v>
      </c>
      <c r="P1073" t="s">
        <v>73</v>
      </c>
      <c r="Q1073">
        <v>350</v>
      </c>
    </row>
    <row r="1074" spans="3:17">
      <c r="C1074" t="s">
        <v>417</v>
      </c>
      <c r="D1074" t="s">
        <v>836</v>
      </c>
      <c r="E1074" t="s">
        <v>822</v>
      </c>
      <c r="G1074" t="s">
        <v>188</v>
      </c>
      <c r="I1074">
        <v>2200000780</v>
      </c>
      <c r="P1074" t="s">
        <v>73</v>
      </c>
      <c r="Q1074">
        <v>400</v>
      </c>
    </row>
    <row r="1075" spans="3:17">
      <c r="C1075" t="s">
        <v>417</v>
      </c>
      <c r="D1075" t="s">
        <v>836</v>
      </c>
      <c r="E1075" t="s">
        <v>822</v>
      </c>
      <c r="G1075" t="s">
        <v>440</v>
      </c>
      <c r="I1075">
        <v>2200001000</v>
      </c>
      <c r="P1075" t="s">
        <v>662</v>
      </c>
      <c r="Q1075">
        <v>300</v>
      </c>
    </row>
    <row r="1076" spans="3:17">
      <c r="C1076" t="s">
        <v>417</v>
      </c>
      <c r="D1076" t="s">
        <v>682</v>
      </c>
      <c r="E1076" t="s">
        <v>756</v>
      </c>
      <c r="G1076" t="s">
        <v>837</v>
      </c>
      <c r="I1076">
        <v>2200000560</v>
      </c>
      <c r="P1076" t="s">
        <v>73</v>
      </c>
      <c r="Q1076">
        <v>200</v>
      </c>
    </row>
    <row r="1077" spans="3:17">
      <c r="C1077" t="s">
        <v>525</v>
      </c>
      <c r="D1077" t="s">
        <v>656</v>
      </c>
      <c r="E1077" t="s">
        <v>804</v>
      </c>
      <c r="G1077" t="s">
        <v>178</v>
      </c>
      <c r="I1077">
        <v>2200001150</v>
      </c>
      <c r="P1077" t="s">
        <v>73</v>
      </c>
      <c r="Q1077">
        <v>200</v>
      </c>
    </row>
    <row r="1078" spans="3:17">
      <c r="C1078" t="s">
        <v>68</v>
      </c>
      <c r="D1078" t="s">
        <v>69</v>
      </c>
      <c r="E1078" t="s">
        <v>779</v>
      </c>
      <c r="G1078" t="s">
        <v>377</v>
      </c>
      <c r="I1078">
        <v>1200003719</v>
      </c>
      <c r="P1078" t="s">
        <v>72</v>
      </c>
      <c r="Q1078">
        <v>50</v>
      </c>
    </row>
    <row r="1079" spans="3:17">
      <c r="C1079" t="s">
        <v>68</v>
      </c>
      <c r="D1079" t="s">
        <v>69</v>
      </c>
      <c r="E1079" t="s">
        <v>779</v>
      </c>
      <c r="G1079" t="s">
        <v>376</v>
      </c>
      <c r="I1079">
        <v>2200000018</v>
      </c>
      <c r="P1079" t="s">
        <v>72</v>
      </c>
      <c r="Q1079">
        <v>100</v>
      </c>
    </row>
    <row r="1080" spans="3:17">
      <c r="C1080" t="s">
        <v>525</v>
      </c>
      <c r="D1080" t="s">
        <v>526</v>
      </c>
      <c r="E1080" t="s">
        <v>742</v>
      </c>
      <c r="G1080" t="s">
        <v>175</v>
      </c>
      <c r="I1080">
        <v>2200000253</v>
      </c>
      <c r="P1080" t="s">
        <v>73</v>
      </c>
      <c r="Q1080">
        <v>100</v>
      </c>
    </row>
    <row r="1081" spans="3:17">
      <c r="C1081" t="s">
        <v>525</v>
      </c>
      <c r="D1081" t="s">
        <v>526</v>
      </c>
      <c r="E1081" t="s">
        <v>572</v>
      </c>
      <c r="G1081" t="s">
        <v>175</v>
      </c>
      <c r="I1081">
        <v>2200000376</v>
      </c>
      <c r="P1081" t="s">
        <v>73</v>
      </c>
      <c r="Q1081">
        <v>300</v>
      </c>
    </row>
    <row r="1082" spans="3:17">
      <c r="C1082" t="s">
        <v>525</v>
      </c>
      <c r="D1082" t="s">
        <v>591</v>
      </c>
      <c r="E1082" t="s">
        <v>811</v>
      </c>
      <c r="G1082" t="s">
        <v>181</v>
      </c>
      <c r="I1082">
        <v>2200001280</v>
      </c>
      <c r="P1082" t="s">
        <v>72</v>
      </c>
      <c r="Q1082">
        <v>300</v>
      </c>
    </row>
    <row r="1083" spans="3:17">
      <c r="C1083" t="s">
        <v>525</v>
      </c>
      <c r="D1083" t="s">
        <v>591</v>
      </c>
      <c r="E1083" t="s">
        <v>811</v>
      </c>
      <c r="G1083" t="s">
        <v>181</v>
      </c>
      <c r="I1083">
        <v>2200001279</v>
      </c>
      <c r="P1083" t="s">
        <v>72</v>
      </c>
      <c r="Q1083">
        <v>300</v>
      </c>
    </row>
    <row r="1084" spans="3:17">
      <c r="C1084" t="s">
        <v>525</v>
      </c>
      <c r="D1084" t="s">
        <v>591</v>
      </c>
      <c r="E1084" t="s">
        <v>828</v>
      </c>
      <c r="G1084" t="s">
        <v>178</v>
      </c>
      <c r="I1084">
        <v>2200001325</v>
      </c>
      <c r="P1084" t="s">
        <v>72</v>
      </c>
      <c r="Q1084">
        <v>47</v>
      </c>
    </row>
    <row r="1085" spans="3:17">
      <c r="C1085" t="s">
        <v>525</v>
      </c>
      <c r="D1085" t="s">
        <v>526</v>
      </c>
      <c r="E1085" t="s">
        <v>776</v>
      </c>
      <c r="G1085" t="s">
        <v>330</v>
      </c>
      <c r="I1085">
        <v>2200000460</v>
      </c>
      <c r="P1085" t="s">
        <v>72</v>
      </c>
      <c r="Q1085">
        <v>150</v>
      </c>
    </row>
    <row r="1086" spans="3:17">
      <c r="C1086" t="s">
        <v>525</v>
      </c>
      <c r="D1086" t="s">
        <v>526</v>
      </c>
      <c r="E1086" t="s">
        <v>776</v>
      </c>
      <c r="G1086" t="s">
        <v>586</v>
      </c>
      <c r="I1086">
        <v>2200000546</v>
      </c>
      <c r="P1086" t="s">
        <v>72</v>
      </c>
      <c r="Q1086">
        <v>50</v>
      </c>
    </row>
    <row r="1087" spans="3:17">
      <c r="C1087" t="s">
        <v>525</v>
      </c>
      <c r="D1087" t="s">
        <v>526</v>
      </c>
      <c r="E1087" t="s">
        <v>838</v>
      </c>
      <c r="G1087" t="s">
        <v>394</v>
      </c>
      <c r="I1087">
        <v>2200001014</v>
      </c>
      <c r="P1087" t="s">
        <v>72</v>
      </c>
      <c r="Q1087">
        <v>200</v>
      </c>
    </row>
    <row r="1088" spans="3:17">
      <c r="C1088" t="s">
        <v>525</v>
      </c>
      <c r="D1088" t="s">
        <v>526</v>
      </c>
      <c r="E1088" t="s">
        <v>838</v>
      </c>
      <c r="G1088" t="s">
        <v>394</v>
      </c>
      <c r="I1088">
        <v>2200001020</v>
      </c>
      <c r="P1088" t="s">
        <v>72</v>
      </c>
      <c r="Q1088">
        <v>200</v>
      </c>
    </row>
    <row r="1089" spans="3:17">
      <c r="C1089" t="s">
        <v>525</v>
      </c>
      <c r="D1089" t="s">
        <v>526</v>
      </c>
      <c r="E1089" t="s">
        <v>838</v>
      </c>
      <c r="G1089" t="s">
        <v>652</v>
      </c>
      <c r="I1089">
        <v>2200001064</v>
      </c>
      <c r="P1089" t="s">
        <v>72</v>
      </c>
      <c r="Q1089">
        <v>400</v>
      </c>
    </row>
    <row r="1090" spans="3:17">
      <c r="C1090" t="s">
        <v>525</v>
      </c>
      <c r="D1090" t="s">
        <v>591</v>
      </c>
      <c r="E1090" t="s">
        <v>618</v>
      </c>
      <c r="G1090" t="s">
        <v>586</v>
      </c>
      <c r="I1090">
        <v>2200000340</v>
      </c>
      <c r="P1090" t="s">
        <v>73</v>
      </c>
      <c r="Q1090">
        <v>82</v>
      </c>
    </row>
    <row r="1091" spans="3:17">
      <c r="C1091" t="s">
        <v>68</v>
      </c>
      <c r="D1091" t="s">
        <v>69</v>
      </c>
      <c r="E1091" t="s">
        <v>399</v>
      </c>
      <c r="G1091" t="s">
        <v>188</v>
      </c>
      <c r="I1091">
        <v>2200000779</v>
      </c>
      <c r="P1091" t="s">
        <v>72</v>
      </c>
      <c r="Q1091">
        <v>300</v>
      </c>
    </row>
    <row r="1092" spans="3:17">
      <c r="C1092" t="s">
        <v>417</v>
      </c>
      <c r="D1092" t="s">
        <v>682</v>
      </c>
      <c r="E1092" t="s">
        <v>756</v>
      </c>
      <c r="G1092" t="s">
        <v>483</v>
      </c>
      <c r="I1092">
        <v>2200001002</v>
      </c>
      <c r="P1092" t="s">
        <v>72</v>
      </c>
      <c r="Q1092">
        <v>300</v>
      </c>
    </row>
    <row r="1093" spans="3:17">
      <c r="C1093" t="s">
        <v>525</v>
      </c>
      <c r="D1093" t="s">
        <v>591</v>
      </c>
      <c r="E1093" t="s">
        <v>839</v>
      </c>
      <c r="G1093" t="s">
        <v>840</v>
      </c>
      <c r="I1093">
        <v>2200000685</v>
      </c>
      <c r="P1093" t="s">
        <v>724</v>
      </c>
      <c r="Q1093">
        <v>880</v>
      </c>
    </row>
    <row r="1094" spans="3:17">
      <c r="C1094" t="s">
        <v>68</v>
      </c>
      <c r="D1094" t="s">
        <v>69</v>
      </c>
      <c r="E1094" t="s">
        <v>816</v>
      </c>
      <c r="G1094" t="s">
        <v>304</v>
      </c>
      <c r="I1094">
        <v>2200000842</v>
      </c>
      <c r="P1094" t="s">
        <v>72</v>
      </c>
      <c r="Q1094">
        <v>300</v>
      </c>
    </row>
    <row r="1095" spans="3:17">
      <c r="C1095" t="s">
        <v>417</v>
      </c>
      <c r="D1095" t="s">
        <v>682</v>
      </c>
      <c r="E1095" t="s">
        <v>841</v>
      </c>
      <c r="G1095" t="s">
        <v>181</v>
      </c>
      <c r="I1095">
        <v>2200000825</v>
      </c>
      <c r="P1095" t="s">
        <v>73</v>
      </c>
      <c r="Q1095">
        <v>76</v>
      </c>
    </row>
    <row r="1096" spans="3:17">
      <c r="C1096" t="s">
        <v>417</v>
      </c>
      <c r="D1096" t="s">
        <v>682</v>
      </c>
      <c r="E1096" t="s">
        <v>841</v>
      </c>
      <c r="G1096" t="s">
        <v>181</v>
      </c>
      <c r="I1096">
        <v>2200001103</v>
      </c>
      <c r="P1096" t="s">
        <v>73</v>
      </c>
      <c r="Q1096">
        <v>55</v>
      </c>
    </row>
    <row r="1097" spans="3:17">
      <c r="C1097" t="s">
        <v>417</v>
      </c>
      <c r="D1097" t="s">
        <v>682</v>
      </c>
      <c r="E1097" t="s">
        <v>841</v>
      </c>
      <c r="G1097" t="s">
        <v>181</v>
      </c>
      <c r="I1097">
        <v>2200001102</v>
      </c>
      <c r="P1097" t="s">
        <v>73</v>
      </c>
      <c r="Q1097">
        <v>345</v>
      </c>
    </row>
    <row r="1098" spans="3:17">
      <c r="C1098" t="s">
        <v>417</v>
      </c>
      <c r="D1098" t="s">
        <v>682</v>
      </c>
      <c r="E1098" t="s">
        <v>841</v>
      </c>
      <c r="G1098" t="s">
        <v>842</v>
      </c>
      <c r="I1098">
        <v>2200001113</v>
      </c>
      <c r="P1098" t="s">
        <v>72</v>
      </c>
      <c r="Q1098">
        <v>400</v>
      </c>
    </row>
    <row r="1099" spans="3:17">
      <c r="C1099" t="s">
        <v>417</v>
      </c>
      <c r="D1099" t="s">
        <v>682</v>
      </c>
      <c r="E1099" t="s">
        <v>841</v>
      </c>
      <c r="G1099" t="s">
        <v>842</v>
      </c>
      <c r="I1099">
        <v>2200001114</v>
      </c>
      <c r="P1099" t="s">
        <v>73</v>
      </c>
      <c r="Q1099">
        <v>132</v>
      </c>
    </row>
    <row r="1100" spans="3:17">
      <c r="C1100" t="s">
        <v>417</v>
      </c>
      <c r="D1100" t="s">
        <v>682</v>
      </c>
      <c r="E1100" t="s">
        <v>841</v>
      </c>
      <c r="G1100" t="s">
        <v>169</v>
      </c>
      <c r="I1100">
        <v>2200001140</v>
      </c>
      <c r="P1100" t="s">
        <v>72</v>
      </c>
      <c r="Q1100">
        <v>300</v>
      </c>
    </row>
    <row r="1101" spans="3:17">
      <c r="C1101" t="s">
        <v>417</v>
      </c>
      <c r="D1101" t="s">
        <v>682</v>
      </c>
      <c r="E1101" t="s">
        <v>841</v>
      </c>
      <c r="G1101" t="s">
        <v>843</v>
      </c>
      <c r="I1101">
        <v>2200001138</v>
      </c>
      <c r="P1101" t="s">
        <v>73</v>
      </c>
      <c r="Q1101">
        <v>100</v>
      </c>
    </row>
    <row r="1102" spans="3:17">
      <c r="C1102" t="s">
        <v>417</v>
      </c>
      <c r="D1102" t="s">
        <v>682</v>
      </c>
      <c r="E1102" t="s">
        <v>782</v>
      </c>
      <c r="G1102" t="s">
        <v>496</v>
      </c>
      <c r="I1102">
        <v>2200000876</v>
      </c>
      <c r="P1102" t="s">
        <v>662</v>
      </c>
      <c r="Q1102">
        <v>300</v>
      </c>
    </row>
    <row r="1103" spans="3:17">
      <c r="C1103" t="s">
        <v>417</v>
      </c>
      <c r="D1103" t="s">
        <v>682</v>
      </c>
      <c r="E1103" t="s">
        <v>782</v>
      </c>
      <c r="G1103" t="s">
        <v>394</v>
      </c>
      <c r="I1103">
        <v>2200000932</v>
      </c>
      <c r="P1103" t="s">
        <v>73</v>
      </c>
      <c r="Q1103">
        <v>325</v>
      </c>
    </row>
    <row r="1104" spans="3:17">
      <c r="C1104" t="s">
        <v>417</v>
      </c>
      <c r="D1104" t="s">
        <v>682</v>
      </c>
      <c r="E1104" t="s">
        <v>782</v>
      </c>
      <c r="G1104" t="s">
        <v>394</v>
      </c>
      <c r="I1104">
        <v>2200001019</v>
      </c>
      <c r="P1104" t="s">
        <v>73</v>
      </c>
      <c r="Q1104">
        <v>100</v>
      </c>
    </row>
    <row r="1105" spans="3:17">
      <c r="C1105" t="s">
        <v>417</v>
      </c>
      <c r="D1105" t="s">
        <v>682</v>
      </c>
      <c r="E1105" t="s">
        <v>782</v>
      </c>
      <c r="G1105" t="s">
        <v>394</v>
      </c>
      <c r="I1105">
        <v>2200001015</v>
      </c>
      <c r="P1105" t="s">
        <v>73</v>
      </c>
      <c r="Q1105">
        <v>100</v>
      </c>
    </row>
    <row r="1106" spans="3:17">
      <c r="C1106" t="s">
        <v>525</v>
      </c>
      <c r="D1106" t="s">
        <v>591</v>
      </c>
      <c r="E1106" t="s">
        <v>605</v>
      </c>
      <c r="G1106" t="s">
        <v>188</v>
      </c>
      <c r="I1106">
        <v>2200000991</v>
      </c>
      <c r="P1106" t="s">
        <v>72</v>
      </c>
      <c r="Q1106">
        <v>200</v>
      </c>
    </row>
    <row r="1107" spans="3:17">
      <c r="C1107" t="s">
        <v>525</v>
      </c>
      <c r="D1107" t="s">
        <v>526</v>
      </c>
      <c r="E1107" t="s">
        <v>838</v>
      </c>
      <c r="G1107" t="s">
        <v>188</v>
      </c>
      <c r="I1107">
        <v>2200000993</v>
      </c>
      <c r="P1107" t="s">
        <v>72</v>
      </c>
      <c r="Q1107">
        <v>300</v>
      </c>
    </row>
    <row r="1108" spans="3:17">
      <c r="C1108" t="s">
        <v>525</v>
      </c>
      <c r="D1108" t="s">
        <v>526</v>
      </c>
      <c r="E1108" t="s">
        <v>838</v>
      </c>
      <c r="G1108" t="s">
        <v>844</v>
      </c>
      <c r="I1108">
        <v>2200001107</v>
      </c>
      <c r="P1108" t="s">
        <v>72</v>
      </c>
      <c r="Q1108">
        <v>300</v>
      </c>
    </row>
    <row r="1109" spans="3:17">
      <c r="C1109" t="s">
        <v>417</v>
      </c>
      <c r="D1109" t="s">
        <v>682</v>
      </c>
      <c r="E1109" t="s">
        <v>780</v>
      </c>
      <c r="G1109" t="s">
        <v>845</v>
      </c>
      <c r="I1109">
        <v>2200000692</v>
      </c>
      <c r="P1109" t="s">
        <v>73</v>
      </c>
      <c r="Q1109">
        <v>300</v>
      </c>
    </row>
    <row r="1110" spans="3:17">
      <c r="C1110" t="s">
        <v>525</v>
      </c>
      <c r="D1110" t="s">
        <v>526</v>
      </c>
      <c r="E1110" t="s">
        <v>846</v>
      </c>
      <c r="G1110" t="s">
        <v>847</v>
      </c>
      <c r="I1110">
        <v>2200000676</v>
      </c>
      <c r="P1110" t="s">
        <v>662</v>
      </c>
      <c r="Q1110" t="s">
        <v>848</v>
      </c>
    </row>
    <row r="1111" spans="3:17">
      <c r="C1111" t="s">
        <v>525</v>
      </c>
      <c r="D1111" t="s">
        <v>526</v>
      </c>
      <c r="E1111" t="s">
        <v>846</v>
      </c>
      <c r="G1111" t="s">
        <v>849</v>
      </c>
      <c r="I1111">
        <v>2200000678</v>
      </c>
      <c r="P1111" t="s">
        <v>662</v>
      </c>
      <c r="Q1111" t="s">
        <v>848</v>
      </c>
    </row>
    <row r="1112" spans="3:17">
      <c r="C1112" t="s">
        <v>525</v>
      </c>
      <c r="D1112" t="s">
        <v>526</v>
      </c>
      <c r="E1112" t="s">
        <v>846</v>
      </c>
      <c r="G1112" t="s">
        <v>850</v>
      </c>
      <c r="I1112">
        <v>2200000669</v>
      </c>
      <c r="P1112" t="s">
        <v>73</v>
      </c>
      <c r="Q1112">
        <v>120.9</v>
      </c>
    </row>
    <row r="1113" spans="3:17">
      <c r="C1113" t="s">
        <v>525</v>
      </c>
      <c r="D1113" t="s">
        <v>526</v>
      </c>
      <c r="E1113" t="s">
        <v>846</v>
      </c>
      <c r="G1113" t="s">
        <v>450</v>
      </c>
      <c r="I1113">
        <v>2200000737</v>
      </c>
      <c r="P1113" t="s">
        <v>662</v>
      </c>
      <c r="Q1113" t="s">
        <v>851</v>
      </c>
    </row>
    <row r="1114" spans="3:17">
      <c r="C1114" t="s">
        <v>525</v>
      </c>
      <c r="D1114" t="s">
        <v>526</v>
      </c>
      <c r="E1114" t="s">
        <v>846</v>
      </c>
      <c r="G1114" t="s">
        <v>178</v>
      </c>
      <c r="I1114">
        <v>2200000750</v>
      </c>
      <c r="P1114" t="s">
        <v>72</v>
      </c>
      <c r="Q1114">
        <v>300</v>
      </c>
    </row>
    <row r="1115" spans="3:17">
      <c r="C1115" t="s">
        <v>525</v>
      </c>
      <c r="D1115" t="s">
        <v>526</v>
      </c>
      <c r="E1115" t="s">
        <v>846</v>
      </c>
      <c r="G1115" t="s">
        <v>844</v>
      </c>
      <c r="I1115">
        <v>2200000799</v>
      </c>
      <c r="P1115" t="s">
        <v>662</v>
      </c>
      <c r="Q1115">
        <v>300</v>
      </c>
    </row>
    <row r="1116" spans="3:17">
      <c r="C1116" t="s">
        <v>525</v>
      </c>
      <c r="D1116" t="s">
        <v>526</v>
      </c>
      <c r="E1116" t="s">
        <v>846</v>
      </c>
      <c r="G1116" t="s">
        <v>852</v>
      </c>
      <c r="I1116">
        <v>2200000902</v>
      </c>
      <c r="P1116" t="s">
        <v>72</v>
      </c>
      <c r="Q1116">
        <v>150</v>
      </c>
    </row>
    <row r="1117" spans="3:17">
      <c r="C1117" t="s">
        <v>525</v>
      </c>
      <c r="D1117" t="s">
        <v>526</v>
      </c>
      <c r="E1117" t="s">
        <v>846</v>
      </c>
      <c r="G1117" t="s">
        <v>853</v>
      </c>
      <c r="I1117">
        <v>2200001104</v>
      </c>
      <c r="P1117" t="s">
        <v>72</v>
      </c>
      <c r="Q1117">
        <v>1000</v>
      </c>
    </row>
    <row r="1118" spans="3:17">
      <c r="C1118" t="s">
        <v>525</v>
      </c>
      <c r="D1118" t="s">
        <v>526</v>
      </c>
      <c r="E1118" t="s">
        <v>846</v>
      </c>
      <c r="G1118" t="s">
        <v>853</v>
      </c>
      <c r="I1118">
        <v>2200001105</v>
      </c>
      <c r="P1118" t="s">
        <v>72</v>
      </c>
      <c r="Q1118">
        <v>1000</v>
      </c>
    </row>
    <row r="1119" spans="3:17">
      <c r="C1119" t="s">
        <v>525</v>
      </c>
      <c r="D1119" t="s">
        <v>526</v>
      </c>
      <c r="E1119" t="s">
        <v>854</v>
      </c>
      <c r="G1119" t="s">
        <v>394</v>
      </c>
      <c r="I1119">
        <v>2200000705</v>
      </c>
      <c r="P1119" t="s">
        <v>73</v>
      </c>
      <c r="Q1119">
        <v>700</v>
      </c>
    </row>
    <row r="1120" spans="3:17">
      <c r="C1120" t="s">
        <v>525</v>
      </c>
      <c r="D1120" t="s">
        <v>526</v>
      </c>
      <c r="E1120" t="s">
        <v>854</v>
      </c>
      <c r="G1120" t="s">
        <v>855</v>
      </c>
      <c r="I1120">
        <v>2200000986</v>
      </c>
      <c r="P1120" t="s">
        <v>662</v>
      </c>
      <c r="Q1120">
        <v>250</v>
      </c>
    </row>
    <row r="1121" spans="3:17">
      <c r="C1121" t="s">
        <v>525</v>
      </c>
      <c r="D1121" t="s">
        <v>526</v>
      </c>
      <c r="E1121" t="s">
        <v>854</v>
      </c>
      <c r="G1121" t="s">
        <v>450</v>
      </c>
      <c r="I1121">
        <v>2200001004</v>
      </c>
      <c r="P1121" t="s">
        <v>662</v>
      </c>
      <c r="Q1121">
        <v>272.8</v>
      </c>
    </row>
    <row r="1122" spans="3:17">
      <c r="C1122" t="s">
        <v>525</v>
      </c>
      <c r="D1122" t="s">
        <v>526</v>
      </c>
      <c r="E1122" t="s">
        <v>854</v>
      </c>
      <c r="G1122" t="s">
        <v>856</v>
      </c>
      <c r="I1122">
        <v>2200000987</v>
      </c>
      <c r="P1122" t="s">
        <v>662</v>
      </c>
      <c r="Q1122">
        <v>250</v>
      </c>
    </row>
    <row r="1123" spans="3:17">
      <c r="C1123" t="s">
        <v>525</v>
      </c>
      <c r="D1123" t="s">
        <v>526</v>
      </c>
      <c r="E1123" t="s">
        <v>854</v>
      </c>
      <c r="G1123" t="s">
        <v>857</v>
      </c>
      <c r="I1123">
        <v>2200001071</v>
      </c>
      <c r="P1123" t="s">
        <v>73</v>
      </c>
      <c r="Q1123">
        <v>225</v>
      </c>
    </row>
    <row r="1124" spans="3:17">
      <c r="C1124" t="s">
        <v>525</v>
      </c>
      <c r="D1124" t="s">
        <v>526</v>
      </c>
      <c r="E1124" t="s">
        <v>854</v>
      </c>
      <c r="G1124" t="s">
        <v>450</v>
      </c>
      <c r="I1124">
        <v>2200001093</v>
      </c>
      <c r="P1124" t="s">
        <v>72</v>
      </c>
      <c r="Q1124">
        <v>150</v>
      </c>
    </row>
    <row r="1125" spans="3:17">
      <c r="C1125" t="s">
        <v>525</v>
      </c>
      <c r="D1125" t="s">
        <v>526</v>
      </c>
      <c r="E1125" t="s">
        <v>854</v>
      </c>
      <c r="G1125" t="s">
        <v>450</v>
      </c>
      <c r="I1125">
        <v>2200001127</v>
      </c>
      <c r="P1125" t="s">
        <v>662</v>
      </c>
      <c r="Q1125">
        <v>139</v>
      </c>
    </row>
    <row r="1126" spans="3:17">
      <c r="C1126" t="s">
        <v>525</v>
      </c>
      <c r="D1126" t="s">
        <v>656</v>
      </c>
      <c r="E1126" t="s">
        <v>858</v>
      </c>
      <c r="G1126" t="s">
        <v>175</v>
      </c>
      <c r="I1126">
        <v>2200001135</v>
      </c>
      <c r="P1126" t="s">
        <v>72</v>
      </c>
      <c r="Q1126">
        <v>350</v>
      </c>
    </row>
    <row r="1127" spans="3:17">
      <c r="C1127" t="s">
        <v>525</v>
      </c>
      <c r="D1127" t="s">
        <v>656</v>
      </c>
      <c r="E1127" t="s">
        <v>858</v>
      </c>
      <c r="G1127" t="s">
        <v>859</v>
      </c>
      <c r="I1127">
        <v>2200001223</v>
      </c>
      <c r="P1127" t="s">
        <v>662</v>
      </c>
      <c r="Q1127">
        <v>650</v>
      </c>
    </row>
    <row r="1128" spans="3:17">
      <c r="C1128" t="s">
        <v>525</v>
      </c>
      <c r="D1128" t="s">
        <v>656</v>
      </c>
      <c r="E1128" t="s">
        <v>858</v>
      </c>
      <c r="G1128" t="s">
        <v>860</v>
      </c>
      <c r="I1128">
        <v>2200001359</v>
      </c>
      <c r="P1128" t="s">
        <v>72</v>
      </c>
      <c r="Q1128">
        <v>390</v>
      </c>
    </row>
    <row r="1129" spans="3:17">
      <c r="C1129" t="s">
        <v>525</v>
      </c>
      <c r="D1129" t="s">
        <v>526</v>
      </c>
      <c r="E1129" t="s">
        <v>838</v>
      </c>
      <c r="G1129" t="s">
        <v>188</v>
      </c>
      <c r="I1129">
        <v>2200000988</v>
      </c>
      <c r="P1129" t="s">
        <v>72</v>
      </c>
      <c r="Q1129">
        <v>300</v>
      </c>
    </row>
    <row r="1130" spans="3:17">
      <c r="C1130" t="s">
        <v>417</v>
      </c>
      <c r="D1130" t="s">
        <v>861</v>
      </c>
      <c r="E1130" t="s">
        <v>822</v>
      </c>
      <c r="G1130" t="s">
        <v>862</v>
      </c>
      <c r="I1130">
        <v>2200000869</v>
      </c>
      <c r="P1130" t="s">
        <v>662</v>
      </c>
      <c r="Q1130">
        <v>354</v>
      </c>
    </row>
    <row r="1131" spans="3:17">
      <c r="C1131" t="s">
        <v>417</v>
      </c>
      <c r="D1131" t="s">
        <v>682</v>
      </c>
      <c r="E1131" t="s">
        <v>756</v>
      </c>
      <c r="G1131" t="s">
        <v>484</v>
      </c>
      <c r="I1131">
        <v>2200000762</v>
      </c>
      <c r="P1131" t="s">
        <v>662</v>
      </c>
      <c r="Q1131">
        <v>185.4</v>
      </c>
    </row>
    <row r="1132" spans="3:17">
      <c r="C1132" t="s">
        <v>417</v>
      </c>
      <c r="D1132" t="s">
        <v>682</v>
      </c>
      <c r="E1132" t="s">
        <v>756</v>
      </c>
      <c r="G1132" t="s">
        <v>484</v>
      </c>
      <c r="I1132">
        <v>2200000763</v>
      </c>
      <c r="P1132" t="s">
        <v>662</v>
      </c>
      <c r="Q1132">
        <v>185.4</v>
      </c>
    </row>
    <row r="1133" spans="3:17">
      <c r="C1133" t="s">
        <v>417</v>
      </c>
      <c r="D1133" t="s">
        <v>682</v>
      </c>
      <c r="E1133" t="s">
        <v>756</v>
      </c>
      <c r="G1133" t="s">
        <v>484</v>
      </c>
      <c r="I1133">
        <v>2200000892</v>
      </c>
      <c r="P1133" t="s">
        <v>662</v>
      </c>
      <c r="Q1133">
        <v>185.4</v>
      </c>
    </row>
    <row r="1134" spans="3:17">
      <c r="C1134" t="s">
        <v>417</v>
      </c>
      <c r="D1134" t="s">
        <v>682</v>
      </c>
      <c r="E1134" t="s">
        <v>756</v>
      </c>
      <c r="G1134" t="s">
        <v>863</v>
      </c>
      <c r="I1134">
        <v>2200000893</v>
      </c>
      <c r="P1134" t="s">
        <v>662</v>
      </c>
      <c r="Q1134">
        <v>68.900000000000006</v>
      </c>
    </row>
    <row r="1135" spans="3:17">
      <c r="C1135" t="s">
        <v>417</v>
      </c>
      <c r="D1135" t="s">
        <v>682</v>
      </c>
      <c r="E1135" t="s">
        <v>780</v>
      </c>
      <c r="G1135" t="s">
        <v>280</v>
      </c>
      <c r="I1135">
        <v>2200000708</v>
      </c>
      <c r="P1135" t="s">
        <v>73</v>
      </c>
      <c r="Q1135">
        <v>48</v>
      </c>
    </row>
    <row r="1136" spans="3:17">
      <c r="C1136" t="s">
        <v>525</v>
      </c>
      <c r="D1136" t="s">
        <v>526</v>
      </c>
      <c r="E1136" t="s">
        <v>742</v>
      </c>
      <c r="G1136" t="s">
        <v>532</v>
      </c>
      <c r="I1136">
        <v>2200000917</v>
      </c>
      <c r="P1136" t="s">
        <v>73</v>
      </c>
      <c r="Q1136">
        <v>207.9</v>
      </c>
    </row>
    <row r="1137" spans="3:17">
      <c r="C1137" t="s">
        <v>525</v>
      </c>
      <c r="D1137" t="s">
        <v>526</v>
      </c>
      <c r="E1137" t="s">
        <v>742</v>
      </c>
      <c r="G1137" t="s">
        <v>864</v>
      </c>
      <c r="I1137">
        <v>2200000913</v>
      </c>
      <c r="P1137" t="s">
        <v>73</v>
      </c>
      <c r="Q1137">
        <v>100</v>
      </c>
    </row>
    <row r="1138" spans="3:17">
      <c r="C1138" t="s">
        <v>417</v>
      </c>
      <c r="D1138" t="s">
        <v>661</v>
      </c>
      <c r="E1138" t="s">
        <v>516</v>
      </c>
      <c r="G1138" t="s">
        <v>387</v>
      </c>
      <c r="I1138">
        <v>2200000967</v>
      </c>
      <c r="P1138" t="s">
        <v>73</v>
      </c>
      <c r="Q1138">
        <v>82.5</v>
      </c>
    </row>
    <row r="1139" spans="3:17">
      <c r="C1139" t="s">
        <v>417</v>
      </c>
      <c r="D1139" t="s">
        <v>661</v>
      </c>
      <c r="E1139" t="s">
        <v>516</v>
      </c>
      <c r="G1139" t="s">
        <v>521</v>
      </c>
      <c r="I1139">
        <v>2200001023</v>
      </c>
      <c r="P1139" t="s">
        <v>73</v>
      </c>
      <c r="Q1139">
        <v>57</v>
      </c>
    </row>
    <row r="1140" spans="3:17">
      <c r="C1140" t="s">
        <v>417</v>
      </c>
      <c r="D1140" t="s">
        <v>661</v>
      </c>
      <c r="E1140" t="s">
        <v>516</v>
      </c>
      <c r="G1140" t="s">
        <v>865</v>
      </c>
      <c r="I1140">
        <v>2200001033</v>
      </c>
      <c r="P1140" t="s">
        <v>73</v>
      </c>
      <c r="Q1140">
        <v>100</v>
      </c>
    </row>
    <row r="1141" spans="3:17">
      <c r="C1141" t="s">
        <v>417</v>
      </c>
      <c r="D1141" t="s">
        <v>861</v>
      </c>
      <c r="E1141" t="s">
        <v>818</v>
      </c>
      <c r="G1141" t="s">
        <v>462</v>
      </c>
      <c r="I1141">
        <v>2200001099</v>
      </c>
      <c r="P1141" t="s">
        <v>662</v>
      </c>
      <c r="Q1141">
        <v>354</v>
      </c>
    </row>
    <row r="1142" spans="3:17">
      <c r="C1142" t="s">
        <v>68</v>
      </c>
      <c r="D1142" t="s">
        <v>69</v>
      </c>
      <c r="E1142" t="s">
        <v>816</v>
      </c>
      <c r="G1142" t="s">
        <v>175</v>
      </c>
      <c r="I1142">
        <v>2200000879</v>
      </c>
      <c r="P1142" t="s">
        <v>72</v>
      </c>
      <c r="Q1142">
        <v>300</v>
      </c>
    </row>
    <row r="1143" spans="3:17">
      <c r="C1143" t="s">
        <v>525</v>
      </c>
      <c r="D1143" t="s">
        <v>526</v>
      </c>
      <c r="E1143" t="s">
        <v>866</v>
      </c>
      <c r="G1143" t="s">
        <v>867</v>
      </c>
      <c r="I1143">
        <v>2200001137</v>
      </c>
      <c r="P1143" t="s">
        <v>73</v>
      </c>
      <c r="Q1143">
        <v>297</v>
      </c>
    </row>
    <row r="1144" spans="3:17">
      <c r="C1144" t="s">
        <v>525</v>
      </c>
      <c r="D1144" t="s">
        <v>526</v>
      </c>
      <c r="E1144" t="s">
        <v>866</v>
      </c>
      <c r="G1144" t="s">
        <v>868</v>
      </c>
      <c r="I1144">
        <v>2200001189</v>
      </c>
      <c r="P1144" t="s">
        <v>662</v>
      </c>
      <c r="Q1144">
        <v>254</v>
      </c>
    </row>
    <row r="1145" spans="3:17">
      <c r="C1145" t="s">
        <v>525</v>
      </c>
      <c r="D1145" t="s">
        <v>526</v>
      </c>
      <c r="E1145" t="s">
        <v>866</v>
      </c>
      <c r="G1145" t="s">
        <v>869</v>
      </c>
      <c r="I1145">
        <v>2200001230</v>
      </c>
      <c r="P1145" t="s">
        <v>73</v>
      </c>
      <c r="Q1145">
        <v>100</v>
      </c>
    </row>
    <row r="1146" spans="3:17">
      <c r="C1146" t="s">
        <v>525</v>
      </c>
      <c r="D1146" t="s">
        <v>526</v>
      </c>
      <c r="E1146" t="s">
        <v>866</v>
      </c>
      <c r="G1146" t="s">
        <v>870</v>
      </c>
      <c r="I1146">
        <v>2200001349</v>
      </c>
      <c r="P1146" t="s">
        <v>72</v>
      </c>
      <c r="Q1146">
        <v>349</v>
      </c>
    </row>
    <row r="1147" spans="3:17">
      <c r="C1147" t="s">
        <v>417</v>
      </c>
      <c r="D1147" t="s">
        <v>871</v>
      </c>
      <c r="E1147" t="s">
        <v>444</v>
      </c>
      <c r="G1147" t="s">
        <v>458</v>
      </c>
      <c r="I1147">
        <v>2200000508</v>
      </c>
      <c r="P1147" t="s">
        <v>724</v>
      </c>
      <c r="Q1147">
        <v>1250</v>
      </c>
    </row>
    <row r="1148" spans="3:17">
      <c r="C1148" t="s">
        <v>525</v>
      </c>
      <c r="D1148" t="s">
        <v>656</v>
      </c>
      <c r="E1148" t="s">
        <v>872</v>
      </c>
      <c r="G1148" t="s">
        <v>648</v>
      </c>
      <c r="I1148">
        <v>2200000177</v>
      </c>
      <c r="P1148" t="s">
        <v>724</v>
      </c>
      <c r="Q1148">
        <v>1150</v>
      </c>
    </row>
    <row r="1149" spans="3:17">
      <c r="C1149" t="s">
        <v>525</v>
      </c>
      <c r="D1149" t="s">
        <v>526</v>
      </c>
      <c r="E1149" t="s">
        <v>838</v>
      </c>
      <c r="G1149" t="s">
        <v>188</v>
      </c>
      <c r="I1149">
        <v>2200001048</v>
      </c>
      <c r="P1149" t="s">
        <v>72</v>
      </c>
      <c r="Q1149">
        <v>200</v>
      </c>
    </row>
    <row r="1150" spans="3:17">
      <c r="C1150" t="s">
        <v>417</v>
      </c>
      <c r="D1150" t="s">
        <v>873</v>
      </c>
      <c r="E1150" t="s">
        <v>668</v>
      </c>
      <c r="G1150" t="s">
        <v>421</v>
      </c>
      <c r="I1150">
        <v>2200000372</v>
      </c>
      <c r="P1150" t="s">
        <v>662</v>
      </c>
      <c r="Q1150" t="s">
        <v>874</v>
      </c>
    </row>
    <row r="1151" spans="3:17">
      <c r="C1151" t="s">
        <v>417</v>
      </c>
      <c r="D1151" t="s">
        <v>873</v>
      </c>
      <c r="E1151" t="s">
        <v>668</v>
      </c>
      <c r="G1151" t="s">
        <v>421</v>
      </c>
      <c r="I1151">
        <v>2200000583</v>
      </c>
      <c r="P1151" t="s">
        <v>73</v>
      </c>
      <c r="Q1151">
        <v>140</v>
      </c>
    </row>
    <row r="1152" spans="3:17">
      <c r="C1152" t="s">
        <v>525</v>
      </c>
      <c r="D1152" t="s">
        <v>526</v>
      </c>
      <c r="E1152" t="s">
        <v>838</v>
      </c>
      <c r="G1152" t="s">
        <v>188</v>
      </c>
      <c r="I1152">
        <v>2200000989</v>
      </c>
      <c r="P1152" t="s">
        <v>72</v>
      </c>
      <c r="Q1152">
        <v>100</v>
      </c>
    </row>
    <row r="1153" spans="3:17">
      <c r="C1153" t="s">
        <v>525</v>
      </c>
      <c r="D1153" t="s">
        <v>526</v>
      </c>
      <c r="E1153" t="s">
        <v>838</v>
      </c>
      <c r="G1153" t="s">
        <v>188</v>
      </c>
      <c r="I1153">
        <v>2200000992</v>
      </c>
      <c r="P1153" t="s">
        <v>72</v>
      </c>
      <c r="Q1153">
        <v>100</v>
      </c>
    </row>
    <row r="1154" spans="3:17">
      <c r="C1154" t="s">
        <v>525</v>
      </c>
      <c r="D1154" t="s">
        <v>591</v>
      </c>
      <c r="E1154" t="s">
        <v>834</v>
      </c>
      <c r="G1154" t="s">
        <v>875</v>
      </c>
      <c r="I1154">
        <v>2200001431</v>
      </c>
      <c r="P1154" t="s">
        <v>662</v>
      </c>
      <c r="Q1154">
        <v>250</v>
      </c>
    </row>
    <row r="1155" spans="3:17">
      <c r="C1155" t="s">
        <v>417</v>
      </c>
      <c r="D1155" t="s">
        <v>876</v>
      </c>
      <c r="E1155" t="s">
        <v>822</v>
      </c>
      <c r="G1155" t="s">
        <v>450</v>
      </c>
      <c r="I1155">
        <v>2200001294</v>
      </c>
      <c r="P1155" t="s">
        <v>662</v>
      </c>
      <c r="Q1155">
        <v>272.8</v>
      </c>
    </row>
    <row r="1156" spans="3:17">
      <c r="C1156" t="s">
        <v>417</v>
      </c>
      <c r="D1156" t="s">
        <v>876</v>
      </c>
      <c r="E1156" t="s">
        <v>822</v>
      </c>
      <c r="G1156" t="s">
        <v>181</v>
      </c>
      <c r="I1156">
        <v>2200001303</v>
      </c>
      <c r="P1156" t="s">
        <v>72</v>
      </c>
      <c r="Q1156">
        <v>300</v>
      </c>
    </row>
    <row r="1157" spans="3:17">
      <c r="C1157" t="s">
        <v>417</v>
      </c>
      <c r="D1157" t="s">
        <v>876</v>
      </c>
      <c r="E1157" t="s">
        <v>822</v>
      </c>
      <c r="G1157" t="s">
        <v>181</v>
      </c>
      <c r="I1157">
        <v>2200001304</v>
      </c>
      <c r="P1157" t="s">
        <v>72</v>
      </c>
      <c r="Q1157">
        <v>300</v>
      </c>
    </row>
    <row r="1158" spans="3:17">
      <c r="C1158" t="s">
        <v>417</v>
      </c>
      <c r="D1158" t="s">
        <v>876</v>
      </c>
      <c r="E1158" t="s">
        <v>822</v>
      </c>
      <c r="G1158" t="s">
        <v>181</v>
      </c>
      <c r="I1158">
        <v>2200001318</v>
      </c>
      <c r="P1158" t="s">
        <v>73</v>
      </c>
      <c r="Q1158">
        <v>300</v>
      </c>
    </row>
    <row r="1159" spans="3:17">
      <c r="C1159" t="s">
        <v>417</v>
      </c>
      <c r="D1159" t="s">
        <v>876</v>
      </c>
      <c r="E1159" t="s">
        <v>822</v>
      </c>
      <c r="G1159" t="s">
        <v>181</v>
      </c>
      <c r="I1159">
        <v>2200001319</v>
      </c>
      <c r="P1159" t="s">
        <v>72</v>
      </c>
      <c r="Q1159">
        <v>300</v>
      </c>
    </row>
    <row r="1160" spans="3:17">
      <c r="C1160" t="s">
        <v>417</v>
      </c>
      <c r="D1160" t="s">
        <v>876</v>
      </c>
      <c r="E1160" t="s">
        <v>822</v>
      </c>
      <c r="G1160" t="s">
        <v>181</v>
      </c>
      <c r="I1160">
        <v>2200001341</v>
      </c>
      <c r="P1160" t="s">
        <v>73</v>
      </c>
      <c r="Q1160">
        <v>300</v>
      </c>
    </row>
    <row r="1161" spans="3:17">
      <c r="C1161" t="s">
        <v>417</v>
      </c>
      <c r="D1161" t="s">
        <v>876</v>
      </c>
      <c r="E1161" t="s">
        <v>822</v>
      </c>
      <c r="G1161" t="s">
        <v>450</v>
      </c>
      <c r="I1161">
        <v>2200001416</v>
      </c>
      <c r="P1161" t="s">
        <v>662</v>
      </c>
      <c r="Q1161">
        <v>281.8</v>
      </c>
    </row>
    <row r="1162" spans="3:17">
      <c r="C1162" t="s">
        <v>417</v>
      </c>
      <c r="D1162" t="s">
        <v>876</v>
      </c>
      <c r="E1162" t="s">
        <v>818</v>
      </c>
      <c r="G1162" t="s">
        <v>877</v>
      </c>
      <c r="I1162">
        <v>2200001364</v>
      </c>
      <c r="P1162" t="s">
        <v>72</v>
      </c>
      <c r="Q1162">
        <v>300</v>
      </c>
    </row>
    <row r="1163" spans="3:17">
      <c r="C1163" t="e">
        <v>#REF!</v>
      </c>
      <c r="D1163" t="e">
        <v>#REF!</v>
      </c>
      <c r="E1163" t="e">
        <v>#REF!</v>
      </c>
      <c r="G1163" t="e">
        <v>#REF!</v>
      </c>
      <c r="I1163" t="e">
        <v>#REF!</v>
      </c>
      <c r="P1163" t="e">
        <v>#REF!</v>
      </c>
      <c r="Q1163" t="e">
        <v>#REF!</v>
      </c>
    </row>
    <row r="1164" spans="3:17">
      <c r="C1164" t="s">
        <v>417</v>
      </c>
      <c r="D1164" t="s">
        <v>876</v>
      </c>
      <c r="E1164" t="s">
        <v>818</v>
      </c>
      <c r="G1164" t="s">
        <v>181</v>
      </c>
      <c r="I1164">
        <v>2200001362</v>
      </c>
      <c r="P1164" t="s">
        <v>72</v>
      </c>
      <c r="Q1164">
        <v>300</v>
      </c>
    </row>
    <row r="1165" spans="3:17">
      <c r="C1165" t="s">
        <v>417</v>
      </c>
      <c r="D1165" t="s">
        <v>876</v>
      </c>
      <c r="E1165" t="s">
        <v>818</v>
      </c>
      <c r="G1165" t="s">
        <v>181</v>
      </c>
      <c r="I1165">
        <v>2200001363</v>
      </c>
      <c r="P1165" t="s">
        <v>72</v>
      </c>
      <c r="Q1165">
        <v>600</v>
      </c>
    </row>
    <row r="1166" spans="3:17">
      <c r="C1166" t="s">
        <v>417</v>
      </c>
      <c r="D1166" t="s">
        <v>876</v>
      </c>
      <c r="E1166" t="s">
        <v>818</v>
      </c>
      <c r="G1166" t="s">
        <v>181</v>
      </c>
      <c r="I1166">
        <v>2200001383</v>
      </c>
      <c r="P1166" t="s">
        <v>73</v>
      </c>
      <c r="Q1166">
        <v>300</v>
      </c>
    </row>
    <row r="1167" spans="3:17">
      <c r="C1167" t="s">
        <v>417</v>
      </c>
      <c r="D1167" t="s">
        <v>876</v>
      </c>
      <c r="E1167" t="s">
        <v>818</v>
      </c>
      <c r="G1167" t="s">
        <v>181</v>
      </c>
      <c r="I1167">
        <v>2200001384</v>
      </c>
      <c r="P1167" t="s">
        <v>73</v>
      </c>
      <c r="Q1167">
        <v>300</v>
      </c>
    </row>
    <row r="1168" spans="3:17">
      <c r="C1168" t="s">
        <v>525</v>
      </c>
      <c r="D1168" t="s">
        <v>526</v>
      </c>
      <c r="E1168" t="s">
        <v>838</v>
      </c>
      <c r="G1168" t="s">
        <v>280</v>
      </c>
      <c r="I1168">
        <v>2200001018</v>
      </c>
      <c r="P1168" t="s">
        <v>72</v>
      </c>
      <c r="Q1168">
        <v>350</v>
      </c>
    </row>
    <row r="1169" spans="3:17">
      <c r="C1169" t="s">
        <v>68</v>
      </c>
      <c r="D1169" t="s">
        <v>69</v>
      </c>
      <c r="E1169" t="s">
        <v>399</v>
      </c>
      <c r="G1169" t="s">
        <v>403</v>
      </c>
      <c r="I1169">
        <v>2200000743</v>
      </c>
      <c r="P1169" t="s">
        <v>72</v>
      </c>
      <c r="Q1169">
        <v>200</v>
      </c>
    </row>
    <row r="1170" spans="3:17">
      <c r="C1170" t="s">
        <v>417</v>
      </c>
      <c r="D1170" t="s">
        <v>682</v>
      </c>
      <c r="E1170" t="s">
        <v>784</v>
      </c>
      <c r="G1170" t="s">
        <v>280</v>
      </c>
      <c r="I1170">
        <v>2200001017</v>
      </c>
      <c r="P1170" t="s">
        <v>72</v>
      </c>
      <c r="Q1170">
        <v>300</v>
      </c>
    </row>
    <row r="1171" spans="3:17">
      <c r="C1171" t="s">
        <v>68</v>
      </c>
      <c r="D1171" t="s">
        <v>69</v>
      </c>
      <c r="E1171" t="s">
        <v>215</v>
      </c>
      <c r="G1171" t="s">
        <v>217</v>
      </c>
      <c r="I1171">
        <v>2200000118</v>
      </c>
      <c r="P1171" t="s">
        <v>72</v>
      </c>
      <c r="Q1171">
        <v>250</v>
      </c>
    </row>
    <row r="1172" spans="3:17">
      <c r="C1172" t="s">
        <v>68</v>
      </c>
      <c r="D1172" t="s">
        <v>69</v>
      </c>
      <c r="E1172" t="s">
        <v>215</v>
      </c>
      <c r="G1172" t="s">
        <v>218</v>
      </c>
      <c r="I1172">
        <v>2200000144</v>
      </c>
      <c r="P1172" t="s">
        <v>72</v>
      </c>
      <c r="Q1172">
        <v>300</v>
      </c>
    </row>
    <row r="1173" spans="3:17">
      <c r="C1173" t="s">
        <v>525</v>
      </c>
      <c r="D1173" t="s">
        <v>656</v>
      </c>
      <c r="E1173" t="s">
        <v>804</v>
      </c>
      <c r="G1173" t="s">
        <v>878</v>
      </c>
      <c r="I1173">
        <v>2200001276</v>
      </c>
      <c r="P1173" t="s">
        <v>72</v>
      </c>
      <c r="Q1173">
        <v>100</v>
      </c>
    </row>
    <row r="1174" spans="3:17">
      <c r="C1174" t="s">
        <v>68</v>
      </c>
      <c r="D1174" t="s">
        <v>69</v>
      </c>
      <c r="E1174" t="s">
        <v>779</v>
      </c>
      <c r="G1174" t="s">
        <v>376</v>
      </c>
      <c r="I1174">
        <v>2200000034</v>
      </c>
      <c r="P1174" t="s">
        <v>72</v>
      </c>
      <c r="Q1174">
        <v>150</v>
      </c>
    </row>
    <row r="1175" spans="3:17">
      <c r="C1175" t="s">
        <v>525</v>
      </c>
      <c r="D1175" t="s">
        <v>526</v>
      </c>
      <c r="E1175" t="s">
        <v>742</v>
      </c>
      <c r="G1175" t="s">
        <v>175</v>
      </c>
      <c r="I1175">
        <v>2200000379</v>
      </c>
      <c r="P1175" t="s">
        <v>73</v>
      </c>
      <c r="Q1175">
        <v>200</v>
      </c>
    </row>
    <row r="1176" spans="3:17">
      <c r="C1176" t="s">
        <v>525</v>
      </c>
      <c r="D1176" t="s">
        <v>526</v>
      </c>
      <c r="E1176" t="s">
        <v>846</v>
      </c>
      <c r="G1176" t="s">
        <v>175</v>
      </c>
      <c r="I1176">
        <v>2200000926</v>
      </c>
      <c r="P1176" t="s">
        <v>73</v>
      </c>
      <c r="Q1176">
        <v>150</v>
      </c>
    </row>
    <row r="1177" spans="3:17">
      <c r="C1177" t="s">
        <v>525</v>
      </c>
      <c r="D1177" t="s">
        <v>591</v>
      </c>
      <c r="E1177" t="s">
        <v>788</v>
      </c>
      <c r="G1177" t="s">
        <v>175</v>
      </c>
      <c r="I1177">
        <v>2200000428</v>
      </c>
      <c r="P1177" t="s">
        <v>73</v>
      </c>
      <c r="Q1177">
        <v>300</v>
      </c>
    </row>
    <row r="1178" spans="3:17">
      <c r="C1178" t="s">
        <v>525</v>
      </c>
      <c r="D1178" t="s">
        <v>591</v>
      </c>
      <c r="E1178" t="s">
        <v>788</v>
      </c>
      <c r="G1178" t="s">
        <v>383</v>
      </c>
      <c r="I1178">
        <v>2200001037</v>
      </c>
      <c r="P1178" t="s">
        <v>662</v>
      </c>
      <c r="Q1178">
        <v>295</v>
      </c>
    </row>
    <row r="1179" spans="3:17">
      <c r="C1179" t="s">
        <v>525</v>
      </c>
      <c r="D1179" t="s">
        <v>526</v>
      </c>
      <c r="E1179" t="s">
        <v>838</v>
      </c>
      <c r="G1179" t="s">
        <v>588</v>
      </c>
      <c r="I1179">
        <v>2200000612</v>
      </c>
      <c r="P1179" t="s">
        <v>72</v>
      </c>
      <c r="Q1179">
        <v>200</v>
      </c>
    </row>
    <row r="1180" spans="3:17">
      <c r="C1180" t="s">
        <v>525</v>
      </c>
      <c r="D1180" t="s">
        <v>591</v>
      </c>
      <c r="E1180" t="s">
        <v>618</v>
      </c>
      <c r="G1180" t="s">
        <v>586</v>
      </c>
      <c r="I1180">
        <v>2200000819</v>
      </c>
      <c r="P1180" t="s">
        <v>73</v>
      </c>
      <c r="Q1180">
        <v>16.8</v>
      </c>
    </row>
    <row r="1181" spans="3:17">
      <c r="C1181" t="s">
        <v>68</v>
      </c>
      <c r="D1181" t="s">
        <v>69</v>
      </c>
      <c r="E1181" t="s">
        <v>215</v>
      </c>
      <c r="G1181" t="s">
        <v>219</v>
      </c>
      <c r="I1181">
        <v>2200000192</v>
      </c>
      <c r="P1181" t="s">
        <v>72</v>
      </c>
      <c r="Q1181">
        <v>110</v>
      </c>
    </row>
    <row r="1182" spans="3:17">
      <c r="C1182" t="s">
        <v>68</v>
      </c>
      <c r="D1182" t="s">
        <v>69</v>
      </c>
      <c r="E1182" t="s">
        <v>215</v>
      </c>
      <c r="G1182" t="s">
        <v>220</v>
      </c>
      <c r="I1182">
        <v>2200000232</v>
      </c>
      <c r="P1182" t="s">
        <v>72</v>
      </c>
      <c r="Q1182">
        <v>300</v>
      </c>
    </row>
    <row r="1183" spans="3:17">
      <c r="C1183" t="s">
        <v>68</v>
      </c>
      <c r="D1183" t="s">
        <v>69</v>
      </c>
      <c r="E1183" t="s">
        <v>215</v>
      </c>
      <c r="G1183" t="s">
        <v>221</v>
      </c>
      <c r="I1183">
        <v>2200000275</v>
      </c>
      <c r="P1183" t="s">
        <v>72</v>
      </c>
      <c r="Q1183">
        <v>400</v>
      </c>
    </row>
    <row r="1184" spans="3:17">
      <c r="C1184" t="s">
        <v>68</v>
      </c>
      <c r="D1184" t="s">
        <v>69</v>
      </c>
      <c r="E1184" t="s">
        <v>215</v>
      </c>
      <c r="G1184" t="s">
        <v>222</v>
      </c>
      <c r="I1184">
        <v>2200000266</v>
      </c>
      <c r="P1184" t="s">
        <v>72</v>
      </c>
      <c r="Q1184">
        <v>650</v>
      </c>
    </row>
    <row r="1185" spans="3:17">
      <c r="C1185" t="s">
        <v>68</v>
      </c>
      <c r="D1185" t="s">
        <v>69</v>
      </c>
      <c r="E1185" t="s">
        <v>215</v>
      </c>
      <c r="G1185" t="s">
        <v>219</v>
      </c>
      <c r="I1185">
        <v>2200000300</v>
      </c>
      <c r="P1185" t="s">
        <v>72</v>
      </c>
      <c r="Q1185">
        <v>50</v>
      </c>
    </row>
    <row r="1186" spans="3:17">
      <c r="C1186" t="s">
        <v>68</v>
      </c>
      <c r="D1186" t="s">
        <v>69</v>
      </c>
      <c r="E1186" t="s">
        <v>215</v>
      </c>
      <c r="G1186" t="s">
        <v>221</v>
      </c>
      <c r="I1186">
        <v>2200000309</v>
      </c>
      <c r="P1186" t="s">
        <v>72</v>
      </c>
      <c r="Q1186">
        <v>400</v>
      </c>
    </row>
    <row r="1187" spans="3:17">
      <c r="C1187" t="s">
        <v>417</v>
      </c>
      <c r="D1187" t="s">
        <v>879</v>
      </c>
      <c r="E1187" t="s">
        <v>822</v>
      </c>
      <c r="G1187" t="s">
        <v>384</v>
      </c>
      <c r="I1187">
        <v>2200000820</v>
      </c>
      <c r="P1187" t="s">
        <v>72</v>
      </c>
      <c r="Q1187">
        <v>300</v>
      </c>
    </row>
    <row r="1188" spans="3:17">
      <c r="C1188" t="s">
        <v>525</v>
      </c>
      <c r="D1188" t="s">
        <v>526</v>
      </c>
      <c r="E1188" t="s">
        <v>658</v>
      </c>
      <c r="G1188" t="s">
        <v>880</v>
      </c>
      <c r="I1188">
        <v>2200000159</v>
      </c>
      <c r="P1188" t="s">
        <v>72</v>
      </c>
      <c r="Q1188">
        <v>2375</v>
      </c>
    </row>
    <row r="1189" spans="3:17">
      <c r="C1189" t="s">
        <v>525</v>
      </c>
      <c r="D1189" t="s">
        <v>526</v>
      </c>
      <c r="E1189" t="s">
        <v>742</v>
      </c>
      <c r="G1189" t="s">
        <v>881</v>
      </c>
      <c r="I1189">
        <v>2200001156</v>
      </c>
      <c r="P1189" t="s">
        <v>73</v>
      </c>
      <c r="Q1189">
        <v>321.3</v>
      </c>
    </row>
    <row r="1190" spans="3:17">
      <c r="C1190" t="s">
        <v>525</v>
      </c>
      <c r="D1190" t="s">
        <v>526</v>
      </c>
      <c r="E1190" t="s">
        <v>742</v>
      </c>
      <c r="G1190" t="s">
        <v>881</v>
      </c>
      <c r="I1190">
        <v>2200001155</v>
      </c>
      <c r="P1190" t="s">
        <v>73</v>
      </c>
      <c r="Q1190">
        <v>321.3</v>
      </c>
    </row>
    <row r="1191" spans="3:17">
      <c r="C1191" t="s">
        <v>525</v>
      </c>
      <c r="D1191" t="s">
        <v>526</v>
      </c>
      <c r="E1191" t="s">
        <v>882</v>
      </c>
      <c r="G1191" t="s">
        <v>883</v>
      </c>
      <c r="I1191">
        <v>2200000674</v>
      </c>
      <c r="P1191" t="s">
        <v>73</v>
      </c>
      <c r="Q1191">
        <v>300</v>
      </c>
    </row>
    <row r="1192" spans="3:17">
      <c r="C1192" t="s">
        <v>525</v>
      </c>
      <c r="D1192" t="s">
        <v>526</v>
      </c>
      <c r="E1192" t="s">
        <v>882</v>
      </c>
      <c r="G1192" t="s">
        <v>175</v>
      </c>
      <c r="I1192">
        <v>2200000935</v>
      </c>
      <c r="P1192" t="s">
        <v>73</v>
      </c>
      <c r="Q1192">
        <v>300</v>
      </c>
    </row>
    <row r="1193" spans="3:17">
      <c r="C1193" t="s">
        <v>525</v>
      </c>
      <c r="D1193" t="s">
        <v>526</v>
      </c>
      <c r="E1193" t="s">
        <v>882</v>
      </c>
      <c r="G1193" t="s">
        <v>727</v>
      </c>
      <c r="I1193">
        <v>2200001069</v>
      </c>
      <c r="P1193" t="s">
        <v>662</v>
      </c>
      <c r="Q1193">
        <v>1200</v>
      </c>
    </row>
    <row r="1194" spans="3:17">
      <c r="C1194" t="s">
        <v>525</v>
      </c>
      <c r="D1194" t="s">
        <v>526</v>
      </c>
      <c r="E1194" t="s">
        <v>882</v>
      </c>
      <c r="G1194" t="s">
        <v>884</v>
      </c>
      <c r="I1194">
        <v>2200001132</v>
      </c>
      <c r="P1194" t="s">
        <v>662</v>
      </c>
      <c r="Q1194">
        <v>200</v>
      </c>
    </row>
    <row r="1195" spans="3:17">
      <c r="C1195" t="s">
        <v>525</v>
      </c>
      <c r="D1195" t="s">
        <v>526</v>
      </c>
      <c r="E1195" t="s">
        <v>882</v>
      </c>
      <c r="G1195" t="s">
        <v>182</v>
      </c>
      <c r="I1195">
        <v>2200001133</v>
      </c>
      <c r="P1195" t="s">
        <v>662</v>
      </c>
      <c r="Q1195">
        <v>300</v>
      </c>
    </row>
    <row r="1196" spans="3:17">
      <c r="C1196" t="s">
        <v>525</v>
      </c>
      <c r="D1196" t="s">
        <v>526</v>
      </c>
      <c r="E1196" t="s">
        <v>882</v>
      </c>
      <c r="G1196" t="s">
        <v>727</v>
      </c>
      <c r="I1196">
        <v>2200001159</v>
      </c>
      <c r="P1196" t="s">
        <v>662</v>
      </c>
      <c r="Q1196">
        <v>300</v>
      </c>
    </row>
    <row r="1197" spans="3:17">
      <c r="C1197" t="s">
        <v>525</v>
      </c>
      <c r="D1197" t="s">
        <v>526</v>
      </c>
      <c r="E1197" t="s">
        <v>882</v>
      </c>
      <c r="G1197" t="s">
        <v>175</v>
      </c>
      <c r="I1197">
        <v>2200001209</v>
      </c>
      <c r="P1197" t="s">
        <v>73</v>
      </c>
      <c r="Q1197">
        <v>50</v>
      </c>
    </row>
    <row r="1198" spans="3:17">
      <c r="C1198" t="s">
        <v>68</v>
      </c>
      <c r="D1198" t="s">
        <v>69</v>
      </c>
      <c r="E1198" t="s">
        <v>215</v>
      </c>
      <c r="G1198" t="s">
        <v>223</v>
      </c>
      <c r="I1198">
        <v>2200000360</v>
      </c>
      <c r="P1198" t="s">
        <v>72</v>
      </c>
      <c r="Q1198">
        <v>400</v>
      </c>
    </row>
    <row r="1199" spans="3:17">
      <c r="C1199" t="s">
        <v>68</v>
      </c>
      <c r="D1199" t="s">
        <v>69</v>
      </c>
      <c r="E1199" t="s">
        <v>215</v>
      </c>
      <c r="G1199" t="s">
        <v>178</v>
      </c>
      <c r="I1199">
        <v>2200000407</v>
      </c>
      <c r="P1199" t="s">
        <v>72</v>
      </c>
      <c r="Q1199">
        <v>1000</v>
      </c>
    </row>
    <row r="1200" spans="3:17">
      <c r="C1200" t="s">
        <v>417</v>
      </c>
      <c r="D1200" t="s">
        <v>682</v>
      </c>
      <c r="E1200" t="s">
        <v>756</v>
      </c>
      <c r="G1200" t="s">
        <v>885</v>
      </c>
      <c r="I1200">
        <v>2200000753</v>
      </c>
      <c r="P1200" t="s">
        <v>73</v>
      </c>
      <c r="Q1200">
        <v>100</v>
      </c>
    </row>
    <row r="1201" spans="3:17">
      <c r="C1201" t="s">
        <v>525</v>
      </c>
      <c r="D1201" t="s">
        <v>526</v>
      </c>
      <c r="E1201" t="s">
        <v>838</v>
      </c>
      <c r="G1201" t="s">
        <v>589</v>
      </c>
      <c r="I1201">
        <v>2200000614</v>
      </c>
      <c r="P1201" t="s">
        <v>72</v>
      </c>
      <c r="Q1201">
        <v>200</v>
      </c>
    </row>
    <row r="1202" spans="3:17">
      <c r="C1202" t="s">
        <v>525</v>
      </c>
      <c r="D1202" t="s">
        <v>526</v>
      </c>
      <c r="E1202" t="s">
        <v>838</v>
      </c>
      <c r="G1202" t="s">
        <v>588</v>
      </c>
      <c r="I1202">
        <v>2200001160</v>
      </c>
      <c r="P1202" t="s">
        <v>662</v>
      </c>
      <c r="Q1202">
        <v>164</v>
      </c>
    </row>
    <row r="1203" spans="3:17">
      <c r="C1203" t="s">
        <v>525</v>
      </c>
      <c r="D1203" t="s">
        <v>526</v>
      </c>
      <c r="E1203" t="s">
        <v>838</v>
      </c>
      <c r="G1203" t="s">
        <v>589</v>
      </c>
      <c r="I1203">
        <v>2200000651</v>
      </c>
      <c r="P1203" t="s">
        <v>72</v>
      </c>
      <c r="Q1203">
        <v>100</v>
      </c>
    </row>
    <row r="1204" spans="3:17">
      <c r="C1204" t="s">
        <v>68</v>
      </c>
      <c r="D1204" t="s">
        <v>69</v>
      </c>
      <c r="E1204" t="s">
        <v>385</v>
      </c>
      <c r="G1204" t="s">
        <v>175</v>
      </c>
      <c r="I1204">
        <v>2200000499</v>
      </c>
      <c r="P1204" t="s">
        <v>72</v>
      </c>
      <c r="Q1204">
        <v>150</v>
      </c>
    </row>
    <row r="1205" spans="3:17">
      <c r="C1205" t="s">
        <v>68</v>
      </c>
      <c r="D1205" t="s">
        <v>69</v>
      </c>
      <c r="E1205" t="s">
        <v>385</v>
      </c>
      <c r="G1205" t="s">
        <v>175</v>
      </c>
      <c r="I1205">
        <v>2200000550</v>
      </c>
      <c r="P1205" t="s">
        <v>72</v>
      </c>
      <c r="Q1205">
        <v>150</v>
      </c>
    </row>
    <row r="1206" spans="3:17">
      <c r="C1206" t="s">
        <v>68</v>
      </c>
      <c r="D1206" t="s">
        <v>69</v>
      </c>
      <c r="E1206" t="s">
        <v>385</v>
      </c>
      <c r="G1206" t="s">
        <v>386</v>
      </c>
      <c r="I1206">
        <v>2200000618</v>
      </c>
      <c r="P1206" t="s">
        <v>72</v>
      </c>
      <c r="Q1206">
        <v>600</v>
      </c>
    </row>
    <row r="1207" spans="3:17">
      <c r="C1207" t="s">
        <v>68</v>
      </c>
      <c r="D1207" t="s">
        <v>69</v>
      </c>
      <c r="E1207" t="s">
        <v>385</v>
      </c>
      <c r="G1207" t="s">
        <v>180</v>
      </c>
      <c r="I1207">
        <v>2200000598</v>
      </c>
      <c r="P1207" t="s">
        <v>72</v>
      </c>
      <c r="Q1207">
        <v>500</v>
      </c>
    </row>
    <row r="1208" spans="3:17">
      <c r="C1208" t="s">
        <v>68</v>
      </c>
      <c r="D1208" t="s">
        <v>69</v>
      </c>
      <c r="E1208" t="s">
        <v>385</v>
      </c>
      <c r="G1208" t="s">
        <v>180</v>
      </c>
      <c r="I1208">
        <v>2200000599</v>
      </c>
      <c r="P1208" t="s">
        <v>72</v>
      </c>
      <c r="Q1208">
        <v>500</v>
      </c>
    </row>
    <row r="1209" spans="3:17">
      <c r="C1209" t="s">
        <v>68</v>
      </c>
      <c r="D1209" t="s">
        <v>410</v>
      </c>
      <c r="E1209" t="s">
        <v>413</v>
      </c>
      <c r="G1209" t="s">
        <v>416</v>
      </c>
      <c r="I1209">
        <v>2200000553</v>
      </c>
      <c r="P1209" t="s">
        <v>724</v>
      </c>
      <c r="Q1209">
        <v>1120</v>
      </c>
    </row>
    <row r="1210" spans="3:17">
      <c r="C1210" t="s">
        <v>68</v>
      </c>
      <c r="D1210" t="s">
        <v>69</v>
      </c>
      <c r="E1210" t="s">
        <v>385</v>
      </c>
      <c r="G1210" t="s">
        <v>886</v>
      </c>
      <c r="I1210">
        <v>2200000452</v>
      </c>
      <c r="P1210" t="s">
        <v>72</v>
      </c>
      <c r="Q1210">
        <v>300</v>
      </c>
    </row>
    <row r="1211" spans="3:17">
      <c r="C1211" t="s">
        <v>525</v>
      </c>
      <c r="D1211" t="s">
        <v>526</v>
      </c>
      <c r="E1211" t="s">
        <v>572</v>
      </c>
      <c r="G1211" t="s">
        <v>175</v>
      </c>
      <c r="I1211">
        <v>2200000511</v>
      </c>
      <c r="P1211" t="s">
        <v>72</v>
      </c>
      <c r="Q1211">
        <v>200</v>
      </c>
    </row>
    <row r="1212" spans="3:17">
      <c r="C1212" t="s">
        <v>525</v>
      </c>
      <c r="D1212" t="s">
        <v>526</v>
      </c>
      <c r="E1212" t="s">
        <v>549</v>
      </c>
      <c r="G1212" t="s">
        <v>545</v>
      </c>
      <c r="I1212">
        <v>2200000478</v>
      </c>
      <c r="P1212" t="s">
        <v>662</v>
      </c>
      <c r="Q1212">
        <v>650</v>
      </c>
    </row>
    <row r="1213" spans="3:17">
      <c r="C1213" t="s">
        <v>525</v>
      </c>
      <c r="D1213" t="s">
        <v>526</v>
      </c>
      <c r="E1213" t="s">
        <v>549</v>
      </c>
      <c r="G1213" t="s">
        <v>545</v>
      </c>
      <c r="I1213">
        <v>2200000479</v>
      </c>
      <c r="P1213" t="s">
        <v>662</v>
      </c>
      <c r="Q1213">
        <v>100</v>
      </c>
    </row>
    <row r="1214" spans="3:17">
      <c r="C1214" t="s">
        <v>525</v>
      </c>
      <c r="D1214" t="s">
        <v>526</v>
      </c>
      <c r="E1214" t="s">
        <v>549</v>
      </c>
      <c r="G1214" t="s">
        <v>545</v>
      </c>
      <c r="I1214">
        <v>2200000784</v>
      </c>
      <c r="P1214" t="s">
        <v>73</v>
      </c>
      <c r="Q1214">
        <v>60</v>
      </c>
    </row>
    <row r="1215" spans="3:17">
      <c r="C1215" t="s">
        <v>525</v>
      </c>
      <c r="D1215" t="s">
        <v>526</v>
      </c>
      <c r="E1215" t="s">
        <v>570</v>
      </c>
      <c r="G1215" t="s">
        <v>545</v>
      </c>
      <c r="I1215">
        <v>2200000476</v>
      </c>
      <c r="P1215" t="s">
        <v>662</v>
      </c>
      <c r="Q1215">
        <v>1250</v>
      </c>
    </row>
    <row r="1216" spans="3:17">
      <c r="C1216" t="s">
        <v>525</v>
      </c>
      <c r="D1216" t="s">
        <v>526</v>
      </c>
      <c r="E1216" t="s">
        <v>570</v>
      </c>
      <c r="G1216" t="s">
        <v>545</v>
      </c>
      <c r="I1216">
        <v>2200000477</v>
      </c>
      <c r="P1216" t="s">
        <v>662</v>
      </c>
      <c r="Q1216">
        <v>75</v>
      </c>
    </row>
    <row r="1217" spans="3:17">
      <c r="C1217" t="s">
        <v>525</v>
      </c>
      <c r="D1217" t="s">
        <v>526</v>
      </c>
      <c r="E1217" t="s">
        <v>570</v>
      </c>
      <c r="G1217" t="s">
        <v>545</v>
      </c>
      <c r="I1217">
        <v>2200000602</v>
      </c>
      <c r="P1217" t="s">
        <v>662</v>
      </c>
      <c r="Q1217" t="s">
        <v>887</v>
      </c>
    </row>
    <row r="1218" spans="3:17">
      <c r="C1218" t="s">
        <v>525</v>
      </c>
      <c r="D1218" t="s">
        <v>526</v>
      </c>
      <c r="E1218" t="s">
        <v>570</v>
      </c>
      <c r="G1218" t="s">
        <v>545</v>
      </c>
      <c r="I1218">
        <v>2200000603</v>
      </c>
      <c r="P1218" t="s">
        <v>73</v>
      </c>
      <c r="Q1218">
        <v>75</v>
      </c>
    </row>
    <row r="1219" spans="3:17">
      <c r="C1219" t="s">
        <v>525</v>
      </c>
      <c r="D1219" t="s">
        <v>526</v>
      </c>
      <c r="E1219" t="s">
        <v>570</v>
      </c>
      <c r="G1219" t="s">
        <v>545</v>
      </c>
      <c r="I1219">
        <v>2200000785</v>
      </c>
      <c r="P1219" t="s">
        <v>73</v>
      </c>
      <c r="Q1219">
        <v>100</v>
      </c>
    </row>
    <row r="1220" spans="3:17">
      <c r="C1220" t="s">
        <v>525</v>
      </c>
      <c r="D1220" t="s">
        <v>526</v>
      </c>
      <c r="E1220" t="s">
        <v>570</v>
      </c>
      <c r="G1220" t="s">
        <v>545</v>
      </c>
      <c r="I1220">
        <v>2200000786</v>
      </c>
      <c r="P1220" t="s">
        <v>73</v>
      </c>
      <c r="Q1220">
        <v>195</v>
      </c>
    </row>
    <row r="1221" spans="3:17">
      <c r="C1221" t="s">
        <v>525</v>
      </c>
      <c r="D1221" t="s">
        <v>526</v>
      </c>
      <c r="E1221" t="s">
        <v>570</v>
      </c>
      <c r="G1221" t="s">
        <v>545</v>
      </c>
      <c r="I1221">
        <v>2200000953</v>
      </c>
      <c r="P1221" t="s">
        <v>662</v>
      </c>
      <c r="Q1221">
        <v>1530</v>
      </c>
    </row>
    <row r="1222" spans="3:17">
      <c r="C1222" t="s">
        <v>417</v>
      </c>
      <c r="D1222" t="s">
        <v>682</v>
      </c>
      <c r="E1222" t="s">
        <v>756</v>
      </c>
      <c r="G1222" t="s">
        <v>590</v>
      </c>
      <c r="I1222">
        <v>2200000751</v>
      </c>
      <c r="P1222" t="s">
        <v>73</v>
      </c>
      <c r="Q1222">
        <v>200</v>
      </c>
    </row>
    <row r="1223" spans="3:17">
      <c r="C1223" t="s">
        <v>525</v>
      </c>
      <c r="D1223" t="s">
        <v>526</v>
      </c>
      <c r="E1223" t="s">
        <v>846</v>
      </c>
      <c r="G1223" t="s">
        <v>175</v>
      </c>
      <c r="I1223">
        <v>2200001062</v>
      </c>
      <c r="P1223" t="s">
        <v>72</v>
      </c>
      <c r="Q1223">
        <v>150</v>
      </c>
    </row>
    <row r="1224" spans="3:17">
      <c r="C1224" t="s">
        <v>68</v>
      </c>
      <c r="D1224" t="s">
        <v>69</v>
      </c>
      <c r="E1224" t="s">
        <v>177</v>
      </c>
      <c r="G1224" t="s">
        <v>178</v>
      </c>
      <c r="I1224">
        <v>2200000636</v>
      </c>
      <c r="P1224" t="s">
        <v>72</v>
      </c>
      <c r="Q1224">
        <v>450</v>
      </c>
    </row>
    <row r="1225" spans="3:17">
      <c r="C1225" t="s">
        <v>68</v>
      </c>
      <c r="D1225" t="s">
        <v>69</v>
      </c>
      <c r="E1225" t="s">
        <v>177</v>
      </c>
      <c r="G1225" t="s">
        <v>179</v>
      </c>
      <c r="I1225">
        <v>2200000681</v>
      </c>
      <c r="P1225" t="s">
        <v>72</v>
      </c>
      <c r="Q1225">
        <v>1000</v>
      </c>
    </row>
    <row r="1226" spans="3:17">
      <c r="C1226" t="s">
        <v>68</v>
      </c>
      <c r="D1226" t="s">
        <v>69</v>
      </c>
      <c r="E1226" t="s">
        <v>177</v>
      </c>
      <c r="G1226" t="s">
        <v>180</v>
      </c>
      <c r="I1226">
        <v>2200000810</v>
      </c>
      <c r="P1226" t="s">
        <v>72</v>
      </c>
      <c r="Q1226">
        <v>717</v>
      </c>
    </row>
    <row r="1227" spans="3:17">
      <c r="C1227" t="s">
        <v>68</v>
      </c>
      <c r="D1227" t="s">
        <v>69</v>
      </c>
      <c r="E1227" t="s">
        <v>177</v>
      </c>
      <c r="G1227" t="s">
        <v>181</v>
      </c>
      <c r="I1227">
        <v>2200000906</v>
      </c>
      <c r="P1227" t="s">
        <v>72</v>
      </c>
      <c r="Q1227">
        <v>500</v>
      </c>
    </row>
    <row r="1228" spans="3:17">
      <c r="C1228" t="s">
        <v>68</v>
      </c>
      <c r="D1228" t="s">
        <v>69</v>
      </c>
      <c r="E1228" t="s">
        <v>177</v>
      </c>
      <c r="G1228" t="s">
        <v>186</v>
      </c>
      <c r="I1228">
        <v>2200000531</v>
      </c>
      <c r="P1228" t="s">
        <v>72</v>
      </c>
      <c r="Q1228">
        <v>200</v>
      </c>
    </row>
    <row r="1229" spans="3:17">
      <c r="C1229" t="s">
        <v>68</v>
      </c>
      <c r="D1229" t="s">
        <v>69</v>
      </c>
      <c r="E1229" t="s">
        <v>177</v>
      </c>
      <c r="G1229" t="s">
        <v>179</v>
      </c>
      <c r="I1229">
        <v>2200000539</v>
      </c>
      <c r="P1229" t="s">
        <v>72</v>
      </c>
      <c r="Q1229">
        <v>200</v>
      </c>
    </row>
    <row r="1230" spans="3:17">
      <c r="C1230" t="s">
        <v>68</v>
      </c>
      <c r="D1230" t="s">
        <v>69</v>
      </c>
      <c r="E1230" t="s">
        <v>177</v>
      </c>
      <c r="G1230" t="s">
        <v>181</v>
      </c>
      <c r="I1230">
        <v>2200000567</v>
      </c>
      <c r="P1230" t="s">
        <v>72</v>
      </c>
      <c r="Q1230">
        <v>300</v>
      </c>
    </row>
    <row r="1231" spans="3:17">
      <c r="C1231" t="s">
        <v>68</v>
      </c>
      <c r="D1231" t="s">
        <v>69</v>
      </c>
      <c r="E1231" t="s">
        <v>177</v>
      </c>
      <c r="G1231" t="s">
        <v>178</v>
      </c>
      <c r="I1231">
        <v>2200000580</v>
      </c>
      <c r="P1231" t="s">
        <v>72</v>
      </c>
      <c r="Q1231">
        <v>500</v>
      </c>
    </row>
    <row r="1232" spans="3:17">
      <c r="C1232" t="s">
        <v>68</v>
      </c>
      <c r="D1232" t="s">
        <v>69</v>
      </c>
      <c r="E1232" t="s">
        <v>177</v>
      </c>
      <c r="G1232" t="s">
        <v>187</v>
      </c>
      <c r="I1232">
        <v>2200000715</v>
      </c>
      <c r="P1232" t="s">
        <v>72</v>
      </c>
      <c r="Q1232">
        <v>300</v>
      </c>
    </row>
    <row r="1233" spans="3:17">
      <c r="C1233" t="s">
        <v>68</v>
      </c>
      <c r="D1233" t="s">
        <v>69</v>
      </c>
      <c r="E1233" t="s">
        <v>177</v>
      </c>
      <c r="G1233" t="s">
        <v>188</v>
      </c>
      <c r="I1233">
        <v>2200000778</v>
      </c>
      <c r="P1233" t="s">
        <v>72</v>
      </c>
      <c r="Q1233">
        <v>300</v>
      </c>
    </row>
    <row r="1234" spans="3:17">
      <c r="C1234" t="s">
        <v>68</v>
      </c>
      <c r="D1234" t="s">
        <v>69</v>
      </c>
      <c r="E1234" t="s">
        <v>177</v>
      </c>
      <c r="G1234" t="s">
        <v>888</v>
      </c>
      <c r="I1234">
        <v>2200000809</v>
      </c>
      <c r="P1234" t="s">
        <v>73</v>
      </c>
      <c r="Q1234">
        <v>595</v>
      </c>
    </row>
    <row r="1235" spans="3:17">
      <c r="C1235" t="s">
        <v>68</v>
      </c>
      <c r="D1235" t="s">
        <v>69</v>
      </c>
      <c r="E1235" t="s">
        <v>177</v>
      </c>
      <c r="G1235" t="s">
        <v>888</v>
      </c>
      <c r="I1235">
        <v>2200000807</v>
      </c>
      <c r="P1235" t="s">
        <v>73</v>
      </c>
      <c r="Q1235">
        <v>600</v>
      </c>
    </row>
    <row r="1236" spans="3:17">
      <c r="C1236" t="s">
        <v>68</v>
      </c>
      <c r="D1236" t="s">
        <v>69</v>
      </c>
      <c r="E1236" t="s">
        <v>299</v>
      </c>
      <c r="G1236" t="s">
        <v>300</v>
      </c>
      <c r="I1236">
        <v>2200000475</v>
      </c>
      <c r="P1236" t="s">
        <v>72</v>
      </c>
      <c r="Q1236">
        <v>400</v>
      </c>
    </row>
    <row r="1237" spans="3:17">
      <c r="C1237" t="s">
        <v>68</v>
      </c>
      <c r="D1237" t="s">
        <v>69</v>
      </c>
      <c r="E1237" t="s">
        <v>299</v>
      </c>
      <c r="G1237" t="s">
        <v>296</v>
      </c>
      <c r="I1237">
        <v>2200000484</v>
      </c>
      <c r="P1237" t="s">
        <v>72</v>
      </c>
      <c r="Q1237">
        <v>100</v>
      </c>
    </row>
    <row r="1238" spans="3:17">
      <c r="C1238" t="s">
        <v>68</v>
      </c>
      <c r="D1238" t="s">
        <v>69</v>
      </c>
      <c r="E1238" t="s">
        <v>299</v>
      </c>
      <c r="G1238" t="s">
        <v>296</v>
      </c>
      <c r="I1238">
        <v>2200000540</v>
      </c>
      <c r="P1238" t="s">
        <v>72</v>
      </c>
      <c r="Q1238">
        <v>150</v>
      </c>
    </row>
    <row r="1239" spans="3:17">
      <c r="C1239" t="s">
        <v>68</v>
      </c>
      <c r="D1239" t="s">
        <v>69</v>
      </c>
      <c r="E1239" t="s">
        <v>299</v>
      </c>
      <c r="G1239" t="s">
        <v>291</v>
      </c>
      <c r="I1239">
        <v>2200000561</v>
      </c>
      <c r="P1239" t="s">
        <v>72</v>
      </c>
      <c r="Q1239">
        <v>136</v>
      </c>
    </row>
    <row r="1240" spans="3:17">
      <c r="C1240" t="s">
        <v>68</v>
      </c>
      <c r="D1240" t="s">
        <v>69</v>
      </c>
      <c r="E1240" t="s">
        <v>732</v>
      </c>
      <c r="G1240" t="s">
        <v>182</v>
      </c>
      <c r="I1240">
        <v>2200001128</v>
      </c>
      <c r="P1240" t="s">
        <v>662</v>
      </c>
      <c r="Q1240">
        <v>100</v>
      </c>
    </row>
    <row r="1241" spans="3:17">
      <c r="C1241" t="s">
        <v>525</v>
      </c>
      <c r="D1241" t="s">
        <v>591</v>
      </c>
      <c r="E1241" t="s">
        <v>788</v>
      </c>
      <c r="G1241" t="s">
        <v>889</v>
      </c>
      <c r="I1241">
        <v>2200000824</v>
      </c>
      <c r="P1241" t="s">
        <v>72</v>
      </c>
      <c r="Q1241">
        <v>600</v>
      </c>
    </row>
    <row r="1242" spans="3:17">
      <c r="C1242" t="s">
        <v>525</v>
      </c>
      <c r="D1242" t="s">
        <v>526</v>
      </c>
      <c r="E1242" t="s">
        <v>838</v>
      </c>
      <c r="G1242" t="s">
        <v>890</v>
      </c>
      <c r="I1242">
        <v>2200000650</v>
      </c>
      <c r="P1242" t="s">
        <v>72</v>
      </c>
      <c r="Q1242">
        <v>200</v>
      </c>
    </row>
    <row r="1243" spans="3:17">
      <c r="C1243" t="s">
        <v>68</v>
      </c>
      <c r="D1243" t="s">
        <v>69</v>
      </c>
      <c r="E1243" t="s">
        <v>237</v>
      </c>
      <c r="G1243" t="s">
        <v>188</v>
      </c>
      <c r="I1243">
        <v>2200000516</v>
      </c>
      <c r="P1243" t="s">
        <v>72</v>
      </c>
      <c r="Q1243">
        <v>300</v>
      </c>
    </row>
    <row r="1244" spans="3:17">
      <c r="C1244" t="s">
        <v>68</v>
      </c>
      <c r="D1244" t="s">
        <v>69</v>
      </c>
      <c r="E1244" t="s">
        <v>237</v>
      </c>
      <c r="G1244" t="s">
        <v>188</v>
      </c>
      <c r="I1244">
        <v>2200000521</v>
      </c>
      <c r="P1244" t="s">
        <v>72</v>
      </c>
      <c r="Q1244">
        <v>200</v>
      </c>
    </row>
    <row r="1245" spans="3:17">
      <c r="C1245" t="s">
        <v>68</v>
      </c>
      <c r="D1245" t="s">
        <v>69</v>
      </c>
      <c r="E1245" t="s">
        <v>237</v>
      </c>
      <c r="G1245" t="s">
        <v>188</v>
      </c>
      <c r="I1245">
        <v>2200000522</v>
      </c>
      <c r="P1245" t="s">
        <v>72</v>
      </c>
      <c r="Q1245">
        <v>300</v>
      </c>
    </row>
    <row r="1246" spans="3:17">
      <c r="C1246" t="s">
        <v>68</v>
      </c>
      <c r="D1246" t="s">
        <v>69</v>
      </c>
      <c r="E1246" t="s">
        <v>237</v>
      </c>
      <c r="G1246" t="s">
        <v>238</v>
      </c>
      <c r="I1246">
        <v>2200000761</v>
      </c>
      <c r="P1246" t="s">
        <v>72</v>
      </c>
      <c r="Q1246">
        <v>300</v>
      </c>
    </row>
    <row r="1247" spans="3:17">
      <c r="C1247" t="s">
        <v>68</v>
      </c>
      <c r="D1247" t="s">
        <v>69</v>
      </c>
      <c r="E1247" t="s">
        <v>237</v>
      </c>
      <c r="G1247" t="s">
        <v>180</v>
      </c>
      <c r="I1247">
        <v>2200000811</v>
      </c>
      <c r="P1247" t="s">
        <v>72</v>
      </c>
      <c r="Q1247">
        <v>765</v>
      </c>
    </row>
    <row r="1248" spans="3:17">
      <c r="C1248" t="s">
        <v>68</v>
      </c>
      <c r="D1248" t="s">
        <v>69</v>
      </c>
      <c r="E1248" t="s">
        <v>237</v>
      </c>
      <c r="G1248" t="s">
        <v>239</v>
      </c>
      <c r="I1248">
        <v>2200000875</v>
      </c>
      <c r="P1248" t="s">
        <v>72</v>
      </c>
      <c r="Q1248">
        <v>300</v>
      </c>
    </row>
    <row r="1249" spans="3:17">
      <c r="C1249" t="s">
        <v>68</v>
      </c>
      <c r="D1249" t="s">
        <v>69</v>
      </c>
      <c r="E1249" t="s">
        <v>237</v>
      </c>
      <c r="G1249" t="s">
        <v>178</v>
      </c>
      <c r="I1249">
        <v>2200001085</v>
      </c>
      <c r="P1249" t="s">
        <v>72</v>
      </c>
      <c r="Q1249">
        <v>700</v>
      </c>
    </row>
    <row r="1250" spans="3:17">
      <c r="C1250" t="s">
        <v>68</v>
      </c>
      <c r="D1250" t="s">
        <v>69</v>
      </c>
      <c r="E1250" t="s">
        <v>237</v>
      </c>
      <c r="G1250" t="s">
        <v>891</v>
      </c>
      <c r="I1250">
        <v>2200001316</v>
      </c>
      <c r="P1250" t="s">
        <v>72</v>
      </c>
      <c r="Q1250">
        <v>660</v>
      </c>
    </row>
    <row r="1251" spans="3:17">
      <c r="C1251" t="s">
        <v>68</v>
      </c>
      <c r="D1251" t="s">
        <v>69</v>
      </c>
      <c r="E1251" t="s">
        <v>237</v>
      </c>
      <c r="G1251" t="s">
        <v>892</v>
      </c>
      <c r="I1251">
        <v>2200001404</v>
      </c>
      <c r="P1251" t="s">
        <v>72</v>
      </c>
      <c r="Q1251">
        <v>2000</v>
      </c>
    </row>
    <row r="1252" spans="3:17">
      <c r="C1252" t="s">
        <v>68</v>
      </c>
      <c r="D1252" t="s">
        <v>69</v>
      </c>
      <c r="E1252" t="s">
        <v>299</v>
      </c>
      <c r="G1252" t="s">
        <v>181</v>
      </c>
      <c r="I1252">
        <v>2200000726</v>
      </c>
      <c r="P1252" t="s">
        <v>72</v>
      </c>
      <c r="Q1252">
        <v>1000</v>
      </c>
    </row>
    <row r="1253" spans="3:17">
      <c r="C1253" t="s">
        <v>68</v>
      </c>
      <c r="D1253" t="s">
        <v>69</v>
      </c>
      <c r="E1253" t="s">
        <v>299</v>
      </c>
      <c r="G1253" t="s">
        <v>301</v>
      </c>
      <c r="I1253">
        <v>2200000755</v>
      </c>
      <c r="P1253" t="s">
        <v>72</v>
      </c>
      <c r="Q1253">
        <v>100</v>
      </c>
    </row>
    <row r="1254" spans="3:17">
      <c r="C1254" t="s">
        <v>68</v>
      </c>
      <c r="D1254" t="s">
        <v>69</v>
      </c>
      <c r="E1254" t="s">
        <v>299</v>
      </c>
      <c r="G1254" t="s">
        <v>302</v>
      </c>
      <c r="I1254">
        <v>2200000796</v>
      </c>
      <c r="P1254" t="s">
        <v>72</v>
      </c>
      <c r="Q1254">
        <v>300</v>
      </c>
    </row>
    <row r="1255" spans="3:17">
      <c r="C1255" t="s">
        <v>68</v>
      </c>
      <c r="D1255" t="s">
        <v>69</v>
      </c>
      <c r="E1255" t="s">
        <v>299</v>
      </c>
      <c r="G1255" t="s">
        <v>303</v>
      </c>
      <c r="I1255">
        <v>2200000866</v>
      </c>
      <c r="P1255" t="s">
        <v>72</v>
      </c>
      <c r="Q1255">
        <v>300</v>
      </c>
    </row>
    <row r="1256" spans="3:17">
      <c r="C1256" t="s">
        <v>68</v>
      </c>
      <c r="D1256" t="s">
        <v>69</v>
      </c>
      <c r="E1256" t="s">
        <v>299</v>
      </c>
      <c r="G1256" t="s">
        <v>280</v>
      </c>
      <c r="I1256">
        <v>2200001021</v>
      </c>
      <c r="P1256" t="s">
        <v>72</v>
      </c>
      <c r="Q1256">
        <v>350</v>
      </c>
    </row>
    <row r="1257" spans="3:17">
      <c r="C1257" t="s">
        <v>68</v>
      </c>
      <c r="D1257" t="s">
        <v>69</v>
      </c>
      <c r="E1257" t="s">
        <v>299</v>
      </c>
      <c r="G1257" t="s">
        <v>175</v>
      </c>
      <c r="I1257">
        <v>2200001056</v>
      </c>
      <c r="P1257" t="s">
        <v>72</v>
      </c>
      <c r="Q1257">
        <v>400</v>
      </c>
    </row>
    <row r="1258" spans="3:17">
      <c r="C1258" t="s">
        <v>68</v>
      </c>
      <c r="D1258" t="s">
        <v>69</v>
      </c>
      <c r="E1258" t="s">
        <v>299</v>
      </c>
      <c r="G1258" t="s">
        <v>181</v>
      </c>
      <c r="I1258">
        <v>2200001126</v>
      </c>
      <c r="P1258" t="s">
        <v>72</v>
      </c>
      <c r="Q1258">
        <v>600</v>
      </c>
    </row>
    <row r="1259" spans="3:17">
      <c r="C1259" t="s">
        <v>68</v>
      </c>
      <c r="D1259" t="s">
        <v>69</v>
      </c>
      <c r="E1259" t="s">
        <v>299</v>
      </c>
      <c r="G1259" t="s">
        <v>175</v>
      </c>
      <c r="I1259">
        <v>2200001210</v>
      </c>
      <c r="P1259" t="s">
        <v>72</v>
      </c>
      <c r="Q1259">
        <v>130</v>
      </c>
    </row>
    <row r="1260" spans="3:17">
      <c r="C1260" t="s">
        <v>68</v>
      </c>
      <c r="D1260" t="s">
        <v>69</v>
      </c>
      <c r="E1260" t="s">
        <v>299</v>
      </c>
      <c r="G1260" t="s">
        <v>304</v>
      </c>
      <c r="I1260">
        <v>2200001261</v>
      </c>
      <c r="P1260" t="s">
        <v>72</v>
      </c>
      <c r="Q1260">
        <v>300</v>
      </c>
    </row>
    <row r="1261" spans="3:17">
      <c r="C1261" t="s">
        <v>68</v>
      </c>
      <c r="D1261" t="s">
        <v>69</v>
      </c>
      <c r="E1261" t="s">
        <v>299</v>
      </c>
      <c r="G1261" t="s">
        <v>304</v>
      </c>
      <c r="I1261">
        <v>2200001262</v>
      </c>
      <c r="P1261" t="s">
        <v>72</v>
      </c>
      <c r="Q1261">
        <v>300</v>
      </c>
    </row>
    <row r="1262" spans="3:17">
      <c r="C1262" t="s">
        <v>68</v>
      </c>
      <c r="D1262" t="s">
        <v>69</v>
      </c>
      <c r="E1262" t="s">
        <v>299</v>
      </c>
      <c r="G1262" t="s">
        <v>305</v>
      </c>
      <c r="I1262">
        <v>2200001254</v>
      </c>
      <c r="P1262" t="s">
        <v>72</v>
      </c>
      <c r="Q1262">
        <v>560</v>
      </c>
    </row>
    <row r="1263" spans="3:17">
      <c r="C1263" t="s">
        <v>68</v>
      </c>
      <c r="D1263" t="s">
        <v>69</v>
      </c>
      <c r="E1263" t="s">
        <v>299</v>
      </c>
      <c r="G1263" t="s">
        <v>178</v>
      </c>
      <c r="I1263">
        <v>2200001353</v>
      </c>
      <c r="P1263" t="s">
        <v>72</v>
      </c>
      <c r="Q1263">
        <v>350</v>
      </c>
    </row>
    <row r="1264" spans="3:17">
      <c r="C1264" t="s">
        <v>68</v>
      </c>
      <c r="D1264" t="s">
        <v>69</v>
      </c>
      <c r="E1264" t="s">
        <v>299</v>
      </c>
      <c r="G1264" t="s">
        <v>291</v>
      </c>
      <c r="I1264">
        <v>2200001326</v>
      </c>
      <c r="P1264" t="s">
        <v>72</v>
      </c>
      <c r="Q1264">
        <v>354</v>
      </c>
    </row>
    <row r="1265" spans="3:17">
      <c r="C1265" t="s">
        <v>68</v>
      </c>
      <c r="D1265" t="s">
        <v>69</v>
      </c>
      <c r="E1265" t="s">
        <v>385</v>
      </c>
      <c r="G1265" t="s">
        <v>180</v>
      </c>
      <c r="I1265">
        <v>2200000661</v>
      </c>
      <c r="P1265" t="s">
        <v>72</v>
      </c>
      <c r="Q1265">
        <v>250</v>
      </c>
    </row>
    <row r="1266" spans="3:17">
      <c r="C1266" t="s">
        <v>68</v>
      </c>
      <c r="D1266" t="s">
        <v>69</v>
      </c>
      <c r="E1266" t="s">
        <v>385</v>
      </c>
      <c r="G1266" t="s">
        <v>180</v>
      </c>
      <c r="I1266">
        <v>2200000662</v>
      </c>
      <c r="P1266" t="s">
        <v>72</v>
      </c>
      <c r="Q1266">
        <v>284</v>
      </c>
    </row>
    <row r="1267" spans="3:17">
      <c r="C1267" t="s">
        <v>68</v>
      </c>
      <c r="D1267" t="s">
        <v>69</v>
      </c>
      <c r="E1267" t="s">
        <v>385</v>
      </c>
      <c r="G1267" t="s">
        <v>387</v>
      </c>
      <c r="I1267">
        <v>2200000672</v>
      </c>
      <c r="P1267" t="s">
        <v>72</v>
      </c>
      <c r="Q1267">
        <v>600</v>
      </c>
    </row>
    <row r="1268" spans="3:17">
      <c r="C1268" t="s">
        <v>68</v>
      </c>
      <c r="D1268" t="s">
        <v>69</v>
      </c>
      <c r="E1268" t="s">
        <v>392</v>
      </c>
      <c r="G1268" t="s">
        <v>393</v>
      </c>
      <c r="I1268">
        <v>2200000600</v>
      </c>
      <c r="P1268" t="s">
        <v>72</v>
      </c>
      <c r="Q1268">
        <v>1000</v>
      </c>
    </row>
    <row r="1269" spans="3:17">
      <c r="C1269" t="s">
        <v>68</v>
      </c>
      <c r="D1269" t="s">
        <v>69</v>
      </c>
      <c r="E1269" t="s">
        <v>392</v>
      </c>
      <c r="G1269" t="s">
        <v>393</v>
      </c>
      <c r="I1269">
        <v>2200000601</v>
      </c>
      <c r="P1269" t="s">
        <v>72</v>
      </c>
      <c r="Q1269">
        <v>1000</v>
      </c>
    </row>
    <row r="1270" spans="3:17">
      <c r="C1270" t="s">
        <v>68</v>
      </c>
      <c r="D1270" t="s">
        <v>69</v>
      </c>
      <c r="E1270" t="s">
        <v>392</v>
      </c>
      <c r="G1270" t="s">
        <v>394</v>
      </c>
      <c r="I1270">
        <v>2200000689</v>
      </c>
      <c r="P1270" t="s">
        <v>72</v>
      </c>
      <c r="Q1270">
        <v>700</v>
      </c>
    </row>
    <row r="1271" spans="3:17">
      <c r="C1271" t="s">
        <v>68</v>
      </c>
      <c r="D1271" t="s">
        <v>69</v>
      </c>
      <c r="E1271" t="s">
        <v>392</v>
      </c>
      <c r="G1271" t="s">
        <v>188</v>
      </c>
      <c r="I1271">
        <v>2200000777</v>
      </c>
      <c r="P1271" t="s">
        <v>72</v>
      </c>
      <c r="Q1271">
        <v>400</v>
      </c>
    </row>
    <row r="1272" spans="3:17">
      <c r="C1272" t="s">
        <v>68</v>
      </c>
      <c r="D1272" t="s">
        <v>69</v>
      </c>
      <c r="E1272" t="s">
        <v>392</v>
      </c>
      <c r="G1272" t="s">
        <v>395</v>
      </c>
      <c r="I1272">
        <v>2200000782</v>
      </c>
      <c r="P1272" t="s">
        <v>73</v>
      </c>
      <c r="Q1272">
        <v>150</v>
      </c>
    </row>
    <row r="1273" spans="3:17">
      <c r="C1273" t="s">
        <v>68</v>
      </c>
      <c r="D1273" t="s">
        <v>69</v>
      </c>
      <c r="E1273" t="s">
        <v>392</v>
      </c>
      <c r="G1273" t="s">
        <v>396</v>
      </c>
      <c r="I1273">
        <v>2200001198</v>
      </c>
      <c r="P1273" t="s">
        <v>73</v>
      </c>
      <c r="Q1273">
        <v>297</v>
      </c>
    </row>
    <row r="1274" spans="3:17">
      <c r="C1274" t="s">
        <v>68</v>
      </c>
      <c r="D1274" t="s">
        <v>69</v>
      </c>
      <c r="E1274" t="s">
        <v>392</v>
      </c>
      <c r="G1274" t="s">
        <v>893</v>
      </c>
      <c r="I1274">
        <v>2200001382</v>
      </c>
      <c r="P1274" t="s">
        <v>73</v>
      </c>
      <c r="Q1274">
        <v>100</v>
      </c>
    </row>
    <row r="1275" spans="3:17">
      <c r="C1275" t="s">
        <v>68</v>
      </c>
      <c r="D1275" t="s">
        <v>69</v>
      </c>
      <c r="E1275" t="s">
        <v>392</v>
      </c>
      <c r="G1275" t="s">
        <v>894</v>
      </c>
      <c r="I1275">
        <v>2200001391</v>
      </c>
      <c r="P1275" t="s">
        <v>73</v>
      </c>
      <c r="Q1275">
        <v>100</v>
      </c>
    </row>
    <row r="1276" spans="3:17">
      <c r="C1276" t="s">
        <v>68</v>
      </c>
      <c r="D1276" t="s">
        <v>69</v>
      </c>
      <c r="E1276" t="s">
        <v>392</v>
      </c>
      <c r="G1276" t="s">
        <v>895</v>
      </c>
      <c r="I1276">
        <v>2200001390</v>
      </c>
      <c r="P1276" t="s">
        <v>73</v>
      </c>
      <c r="Q1276">
        <v>100</v>
      </c>
    </row>
    <row r="1277" spans="3:17">
      <c r="C1277" t="s">
        <v>68</v>
      </c>
      <c r="D1277" t="s">
        <v>69</v>
      </c>
      <c r="E1277" t="s">
        <v>392</v>
      </c>
      <c r="G1277" t="s">
        <v>387</v>
      </c>
      <c r="I1277">
        <v>2200001523</v>
      </c>
      <c r="P1277" t="s">
        <v>73</v>
      </c>
      <c r="Q1277">
        <v>300</v>
      </c>
    </row>
    <row r="1278" spans="3:17">
      <c r="C1278" t="s">
        <v>68</v>
      </c>
      <c r="D1278" t="s">
        <v>69</v>
      </c>
      <c r="E1278" t="s">
        <v>237</v>
      </c>
      <c r="G1278" t="s">
        <v>240</v>
      </c>
      <c r="I1278">
        <v>2200000910</v>
      </c>
      <c r="P1278" t="s">
        <v>72</v>
      </c>
      <c r="Q1278">
        <v>250</v>
      </c>
    </row>
    <row r="1279" spans="3:17">
      <c r="C1279" t="s">
        <v>68</v>
      </c>
      <c r="D1279" t="s">
        <v>69</v>
      </c>
      <c r="E1279" t="s">
        <v>177</v>
      </c>
      <c r="G1279" t="s">
        <v>181</v>
      </c>
      <c r="I1279">
        <v>2200000973</v>
      </c>
      <c r="P1279" t="s">
        <v>72</v>
      </c>
      <c r="Q1279">
        <v>100</v>
      </c>
    </row>
    <row r="1280" spans="3:17">
      <c r="C1280" t="s">
        <v>417</v>
      </c>
      <c r="D1280" t="s">
        <v>682</v>
      </c>
      <c r="E1280" t="s">
        <v>756</v>
      </c>
      <c r="G1280" t="s">
        <v>330</v>
      </c>
      <c r="I1280">
        <v>2200000767</v>
      </c>
      <c r="P1280" t="s">
        <v>73</v>
      </c>
      <c r="Q1280">
        <v>100</v>
      </c>
    </row>
    <row r="1281" spans="3:17">
      <c r="C1281" t="s">
        <v>68</v>
      </c>
      <c r="D1281" t="s">
        <v>69</v>
      </c>
      <c r="E1281" t="s">
        <v>378</v>
      </c>
      <c r="G1281" t="s">
        <v>188</v>
      </c>
      <c r="I1281">
        <v>2200000850</v>
      </c>
      <c r="P1281" t="s">
        <v>72</v>
      </c>
      <c r="Q1281">
        <v>300</v>
      </c>
    </row>
    <row r="1282" spans="3:17">
      <c r="C1282" t="s">
        <v>68</v>
      </c>
      <c r="D1282" t="s">
        <v>69</v>
      </c>
      <c r="E1282" t="s">
        <v>378</v>
      </c>
      <c r="G1282" t="s">
        <v>188</v>
      </c>
      <c r="I1282">
        <v>2200000886</v>
      </c>
      <c r="P1282" t="s">
        <v>72</v>
      </c>
      <c r="Q1282">
        <v>100</v>
      </c>
    </row>
    <row r="1283" spans="3:17">
      <c r="C1283" t="s">
        <v>68</v>
      </c>
      <c r="D1283" t="s">
        <v>69</v>
      </c>
      <c r="E1283" t="s">
        <v>378</v>
      </c>
      <c r="G1283" t="s">
        <v>188</v>
      </c>
      <c r="I1283">
        <v>2200000887</v>
      </c>
      <c r="P1283" t="s">
        <v>72</v>
      </c>
      <c r="Q1283">
        <v>200</v>
      </c>
    </row>
    <row r="1284" spans="3:17">
      <c r="C1284" t="s">
        <v>68</v>
      </c>
      <c r="D1284" t="s">
        <v>69</v>
      </c>
      <c r="E1284" t="s">
        <v>378</v>
      </c>
      <c r="G1284" t="s">
        <v>188</v>
      </c>
      <c r="I1284">
        <v>2200000888</v>
      </c>
      <c r="P1284" t="s">
        <v>72</v>
      </c>
      <c r="Q1284">
        <v>200</v>
      </c>
    </row>
    <row r="1285" spans="3:17">
      <c r="C1285" t="s">
        <v>68</v>
      </c>
      <c r="D1285" t="s">
        <v>69</v>
      </c>
      <c r="E1285" t="s">
        <v>378</v>
      </c>
      <c r="G1285" t="s">
        <v>188</v>
      </c>
      <c r="I1285">
        <v>2200000889</v>
      </c>
      <c r="P1285" t="s">
        <v>72</v>
      </c>
      <c r="Q1285">
        <v>100</v>
      </c>
    </row>
    <row r="1286" spans="3:17">
      <c r="C1286" t="s">
        <v>68</v>
      </c>
      <c r="D1286" t="s">
        <v>69</v>
      </c>
      <c r="E1286" t="s">
        <v>378</v>
      </c>
      <c r="G1286" t="s">
        <v>188</v>
      </c>
      <c r="I1286">
        <v>2200000890</v>
      </c>
      <c r="P1286" t="s">
        <v>72</v>
      </c>
      <c r="Q1286">
        <v>100</v>
      </c>
    </row>
    <row r="1287" spans="3:17">
      <c r="C1287" t="s">
        <v>68</v>
      </c>
      <c r="D1287" t="s">
        <v>69</v>
      </c>
      <c r="E1287" t="s">
        <v>378</v>
      </c>
      <c r="G1287" t="s">
        <v>379</v>
      </c>
      <c r="I1287">
        <v>2200001006</v>
      </c>
      <c r="P1287" t="s">
        <v>72</v>
      </c>
      <c r="Q1287">
        <v>600</v>
      </c>
    </row>
    <row r="1288" spans="3:17">
      <c r="C1288" t="s">
        <v>525</v>
      </c>
      <c r="D1288" t="s">
        <v>526</v>
      </c>
      <c r="E1288" t="s">
        <v>838</v>
      </c>
      <c r="G1288" t="s">
        <v>590</v>
      </c>
      <c r="I1288">
        <v>2200001161</v>
      </c>
      <c r="P1288" t="s">
        <v>72</v>
      </c>
      <c r="Q1288">
        <v>200</v>
      </c>
    </row>
    <row r="1289" spans="3:17">
      <c r="C1289" t="s">
        <v>68</v>
      </c>
      <c r="D1289" t="s">
        <v>69</v>
      </c>
      <c r="E1289" t="s">
        <v>397</v>
      </c>
      <c r="G1289" t="s">
        <v>398</v>
      </c>
      <c r="I1289">
        <v>2200000946</v>
      </c>
      <c r="P1289" t="s">
        <v>72</v>
      </c>
      <c r="Q1289">
        <v>300</v>
      </c>
    </row>
    <row r="1290" spans="3:17">
      <c r="C1290" t="s">
        <v>68</v>
      </c>
      <c r="D1290" t="s">
        <v>69</v>
      </c>
      <c r="E1290" t="s">
        <v>189</v>
      </c>
      <c r="G1290" t="s">
        <v>188</v>
      </c>
      <c r="I1290">
        <v>2200001026</v>
      </c>
      <c r="P1290" t="s">
        <v>72</v>
      </c>
      <c r="Q1290">
        <v>200</v>
      </c>
    </row>
    <row r="1291" spans="3:17">
      <c r="C1291" t="s">
        <v>68</v>
      </c>
      <c r="D1291" t="s">
        <v>69</v>
      </c>
      <c r="E1291" t="s">
        <v>189</v>
      </c>
      <c r="G1291" t="s">
        <v>896</v>
      </c>
      <c r="I1291">
        <v>2200001300</v>
      </c>
      <c r="P1291" t="s">
        <v>72</v>
      </c>
      <c r="Q1291">
        <v>208.5</v>
      </c>
    </row>
    <row r="1292" spans="3:17">
      <c r="C1292" t="s">
        <v>68</v>
      </c>
      <c r="D1292" t="s">
        <v>69</v>
      </c>
      <c r="E1292" t="s">
        <v>189</v>
      </c>
      <c r="G1292" t="s">
        <v>178</v>
      </c>
      <c r="I1292">
        <v>2200001352</v>
      </c>
      <c r="P1292" t="s">
        <v>72</v>
      </c>
      <c r="Q1292">
        <v>750</v>
      </c>
    </row>
    <row r="1293" spans="3:17">
      <c r="C1293" t="s">
        <v>68</v>
      </c>
      <c r="D1293" t="s">
        <v>69</v>
      </c>
      <c r="E1293" t="s">
        <v>189</v>
      </c>
      <c r="G1293" t="s">
        <v>897</v>
      </c>
      <c r="I1293">
        <v>2200001366</v>
      </c>
      <c r="P1293" t="s">
        <v>72</v>
      </c>
      <c r="Q1293">
        <v>350</v>
      </c>
    </row>
    <row r="1294" spans="3:17">
      <c r="C1294" t="s">
        <v>68</v>
      </c>
      <c r="D1294" t="s">
        <v>69</v>
      </c>
      <c r="E1294" t="s">
        <v>189</v>
      </c>
      <c r="G1294" t="s">
        <v>898</v>
      </c>
      <c r="I1294">
        <v>2200001398</v>
      </c>
      <c r="P1294" t="s">
        <v>72</v>
      </c>
      <c r="Q1294">
        <v>300</v>
      </c>
    </row>
    <row r="1295" spans="3:17">
      <c r="C1295" t="s">
        <v>68</v>
      </c>
      <c r="D1295" t="s">
        <v>69</v>
      </c>
      <c r="E1295" t="s">
        <v>189</v>
      </c>
      <c r="G1295" t="s">
        <v>178</v>
      </c>
      <c r="I1295">
        <v>2200001422</v>
      </c>
      <c r="P1295" t="s">
        <v>72</v>
      </c>
      <c r="Q1295">
        <v>800</v>
      </c>
    </row>
    <row r="1296" spans="3:17">
      <c r="C1296" t="s">
        <v>68</v>
      </c>
      <c r="D1296" t="s">
        <v>69</v>
      </c>
      <c r="E1296" t="s">
        <v>189</v>
      </c>
      <c r="G1296" t="s">
        <v>899</v>
      </c>
      <c r="I1296">
        <v>2200001440</v>
      </c>
      <c r="P1296" t="s">
        <v>73</v>
      </c>
      <c r="Q1296">
        <v>99</v>
      </c>
    </row>
    <row r="1297" spans="3:17">
      <c r="C1297" t="s">
        <v>68</v>
      </c>
      <c r="D1297" t="s">
        <v>69</v>
      </c>
      <c r="E1297" t="s">
        <v>189</v>
      </c>
      <c r="G1297" t="s">
        <v>188</v>
      </c>
      <c r="I1297">
        <v>2200001503</v>
      </c>
      <c r="P1297" t="s">
        <v>72</v>
      </c>
      <c r="Q1297">
        <v>300</v>
      </c>
    </row>
    <row r="1298" spans="3:17">
      <c r="C1298" t="s">
        <v>68</v>
      </c>
      <c r="D1298" t="s">
        <v>69</v>
      </c>
      <c r="E1298" t="s">
        <v>189</v>
      </c>
      <c r="G1298" t="s">
        <v>813</v>
      </c>
      <c r="I1298">
        <v>2200001557</v>
      </c>
      <c r="P1298" t="s">
        <v>72</v>
      </c>
      <c r="Q1298">
        <v>300</v>
      </c>
    </row>
    <row r="1299" spans="3:17">
      <c r="C1299" t="s">
        <v>68</v>
      </c>
      <c r="D1299" t="s">
        <v>69</v>
      </c>
      <c r="E1299" t="s">
        <v>189</v>
      </c>
      <c r="G1299" t="s">
        <v>900</v>
      </c>
      <c r="I1299">
        <v>2200001622</v>
      </c>
      <c r="P1299" t="s">
        <v>662</v>
      </c>
      <c r="Q1299">
        <v>1000</v>
      </c>
    </row>
    <row r="1300" spans="3:17">
      <c r="C1300" t="s">
        <v>68</v>
      </c>
      <c r="D1300" t="s">
        <v>69</v>
      </c>
      <c r="E1300" t="s">
        <v>378</v>
      </c>
      <c r="G1300" t="s">
        <v>168</v>
      </c>
      <c r="I1300">
        <v>2200001087</v>
      </c>
      <c r="P1300" t="s">
        <v>72</v>
      </c>
      <c r="Q1300">
        <v>300</v>
      </c>
    </row>
    <row r="1301" spans="3:17">
      <c r="C1301" t="s">
        <v>68</v>
      </c>
      <c r="D1301" t="s">
        <v>69</v>
      </c>
      <c r="E1301" t="s">
        <v>237</v>
      </c>
      <c r="G1301" t="s">
        <v>240</v>
      </c>
      <c r="I1301">
        <v>2200001284</v>
      </c>
      <c r="P1301" t="s">
        <v>72</v>
      </c>
      <c r="Q1301">
        <v>50</v>
      </c>
    </row>
    <row r="1302" spans="3:17">
      <c r="C1302" t="s">
        <v>68</v>
      </c>
      <c r="D1302" t="s">
        <v>69</v>
      </c>
      <c r="E1302" t="s">
        <v>177</v>
      </c>
      <c r="G1302" t="s">
        <v>184</v>
      </c>
      <c r="I1302">
        <v>2200000954</v>
      </c>
      <c r="P1302" t="s">
        <v>72</v>
      </c>
      <c r="Q1302">
        <v>250</v>
      </c>
    </row>
    <row r="1303" spans="3:17">
      <c r="C1303" t="s">
        <v>68</v>
      </c>
      <c r="D1303" t="s">
        <v>69</v>
      </c>
      <c r="E1303" t="s">
        <v>177</v>
      </c>
      <c r="G1303" t="s">
        <v>184</v>
      </c>
      <c r="I1303">
        <v>2200001285</v>
      </c>
      <c r="P1303" t="s">
        <v>72</v>
      </c>
      <c r="Q1303">
        <v>50</v>
      </c>
    </row>
    <row r="1304" spans="3:17">
      <c r="C1304" t="s">
        <v>68</v>
      </c>
      <c r="D1304" t="s">
        <v>69</v>
      </c>
      <c r="E1304" t="s">
        <v>189</v>
      </c>
      <c r="G1304" t="s">
        <v>405</v>
      </c>
      <c r="I1304">
        <v>2200001057</v>
      </c>
      <c r="P1304" t="s">
        <v>72</v>
      </c>
      <c r="Q1304">
        <v>100</v>
      </c>
    </row>
    <row r="1305" spans="3:17">
      <c r="C1305" t="s">
        <v>68</v>
      </c>
      <c r="D1305" t="s">
        <v>69</v>
      </c>
      <c r="E1305" t="s">
        <v>189</v>
      </c>
      <c r="G1305" t="s">
        <v>190</v>
      </c>
      <c r="I1305">
        <v>2200001141</v>
      </c>
      <c r="P1305" t="s">
        <v>72</v>
      </c>
      <c r="Q1305">
        <v>300</v>
      </c>
    </row>
    <row r="1306" spans="3:17">
      <c r="C1306" t="s">
        <v>68</v>
      </c>
      <c r="D1306" t="s">
        <v>69</v>
      </c>
      <c r="E1306" t="s">
        <v>189</v>
      </c>
      <c r="G1306" t="s">
        <v>190</v>
      </c>
      <c r="I1306">
        <v>2200001194</v>
      </c>
      <c r="P1306" t="s">
        <v>72</v>
      </c>
      <c r="Q1306">
        <v>300</v>
      </c>
    </row>
    <row r="1307" spans="3:17">
      <c r="C1307" t="s">
        <v>68</v>
      </c>
      <c r="D1307" t="s">
        <v>69</v>
      </c>
      <c r="E1307" t="s">
        <v>189</v>
      </c>
      <c r="G1307" t="s">
        <v>188</v>
      </c>
      <c r="I1307">
        <v>2200001188</v>
      </c>
      <c r="P1307" t="s">
        <v>72</v>
      </c>
      <c r="Q1307">
        <v>250</v>
      </c>
    </row>
    <row r="1308" spans="3:17">
      <c r="C1308" t="s">
        <v>68</v>
      </c>
      <c r="D1308" t="s">
        <v>69</v>
      </c>
      <c r="E1308" t="s">
        <v>189</v>
      </c>
      <c r="G1308" t="s">
        <v>405</v>
      </c>
      <c r="I1308">
        <v>2200001252</v>
      </c>
      <c r="P1308" t="s">
        <v>72</v>
      </c>
      <c r="Q1308">
        <v>74</v>
      </c>
    </row>
    <row r="1309" spans="3:17">
      <c r="C1309" t="s">
        <v>68</v>
      </c>
      <c r="D1309" t="s">
        <v>69</v>
      </c>
      <c r="E1309" t="s">
        <v>901</v>
      </c>
      <c r="G1309" t="s">
        <v>407</v>
      </c>
      <c r="I1309">
        <v>2200000860</v>
      </c>
      <c r="P1309" t="s">
        <v>72</v>
      </c>
      <c r="Q1309">
        <v>300</v>
      </c>
    </row>
    <row r="1310" spans="3:17">
      <c r="C1310" t="s">
        <v>68</v>
      </c>
      <c r="D1310" t="s">
        <v>69</v>
      </c>
      <c r="E1310" t="s">
        <v>902</v>
      </c>
      <c r="G1310" t="s">
        <v>168</v>
      </c>
      <c r="I1310">
        <v>2200001089</v>
      </c>
      <c r="P1310" t="s">
        <v>72</v>
      </c>
      <c r="Q1310">
        <v>300</v>
      </c>
    </row>
    <row r="1311" spans="3:17">
      <c r="C1311" t="s">
        <v>68</v>
      </c>
      <c r="D1311" t="s">
        <v>69</v>
      </c>
      <c r="E1311" t="s">
        <v>902</v>
      </c>
      <c r="G1311" t="s">
        <v>409</v>
      </c>
      <c r="I1311">
        <v>2200001100</v>
      </c>
      <c r="P1311" t="s">
        <v>72</v>
      </c>
      <c r="Q1311">
        <v>300</v>
      </c>
    </row>
    <row r="1312" spans="3:17">
      <c r="C1312" t="s">
        <v>68</v>
      </c>
      <c r="D1312" t="s">
        <v>69</v>
      </c>
      <c r="E1312" t="s">
        <v>903</v>
      </c>
      <c r="G1312" t="s">
        <v>904</v>
      </c>
      <c r="I1312">
        <v>2200001417</v>
      </c>
      <c r="P1312" t="s">
        <v>72</v>
      </c>
      <c r="Q1312">
        <v>400</v>
      </c>
    </row>
    <row r="1313" spans="3:17">
      <c r="C1313" t="s">
        <v>68</v>
      </c>
      <c r="D1313" t="s">
        <v>69</v>
      </c>
      <c r="E1313" t="s">
        <v>903</v>
      </c>
      <c r="G1313" t="s">
        <v>178</v>
      </c>
      <c r="I1313">
        <v>2200001464</v>
      </c>
      <c r="P1313" t="s">
        <v>72</v>
      </c>
      <c r="Q1313">
        <v>1000</v>
      </c>
    </row>
    <row r="1314" spans="3:17">
      <c r="C1314" t="s">
        <v>68</v>
      </c>
      <c r="D1314" t="s">
        <v>69</v>
      </c>
      <c r="E1314" t="s">
        <v>189</v>
      </c>
      <c r="G1314" t="s">
        <v>405</v>
      </c>
      <c r="I1314">
        <v>2200001088</v>
      </c>
      <c r="P1314" t="s">
        <v>72</v>
      </c>
      <c r="Q1314">
        <v>80</v>
      </c>
    </row>
    <row r="1315" spans="3:17">
      <c r="C1315" t="s">
        <v>68</v>
      </c>
      <c r="D1315" t="s">
        <v>69</v>
      </c>
      <c r="E1315" t="s">
        <v>378</v>
      </c>
      <c r="G1315" t="s">
        <v>188</v>
      </c>
      <c r="I1315">
        <v>2200000890</v>
      </c>
      <c r="P1315" t="s">
        <v>72</v>
      </c>
      <c r="Q1315">
        <v>100</v>
      </c>
    </row>
    <row r="1316" spans="3:17">
      <c r="C1316" t="s">
        <v>68</v>
      </c>
      <c r="D1316" t="s">
        <v>69</v>
      </c>
      <c r="E1316" t="s">
        <v>378</v>
      </c>
      <c r="G1316" t="s">
        <v>379</v>
      </c>
      <c r="I1316">
        <v>2200001006</v>
      </c>
      <c r="P1316" t="s">
        <v>72</v>
      </c>
      <c r="Q1316">
        <v>600</v>
      </c>
    </row>
    <row r="1317" spans="3:17">
      <c r="C1317" t="s">
        <v>525</v>
      </c>
      <c r="D1317" t="s">
        <v>526</v>
      </c>
      <c r="E1317" t="s">
        <v>838</v>
      </c>
      <c r="G1317" t="s">
        <v>590</v>
      </c>
      <c r="I1317">
        <v>2200001161</v>
      </c>
      <c r="P1317" t="s">
        <v>72</v>
      </c>
      <c r="Q1317">
        <v>200</v>
      </c>
    </row>
    <row r="1318" spans="3:17">
      <c r="C1318" t="s">
        <v>68</v>
      </c>
      <c r="D1318" t="s">
        <v>69</v>
      </c>
      <c r="E1318" t="s">
        <v>397</v>
      </c>
      <c r="G1318" t="s">
        <v>398</v>
      </c>
      <c r="I1318">
        <v>2200000946</v>
      </c>
      <c r="P1318" t="s">
        <v>72</v>
      </c>
      <c r="Q1318">
        <v>300</v>
      </c>
    </row>
    <row r="1319" spans="3:17">
      <c r="C1319" t="s">
        <v>68</v>
      </c>
      <c r="D1319" t="s">
        <v>69</v>
      </c>
      <c r="E1319" t="s">
        <v>189</v>
      </c>
      <c r="G1319" t="s">
        <v>188</v>
      </c>
      <c r="I1319">
        <v>2200001026</v>
      </c>
      <c r="P1319" t="s">
        <v>72</v>
      </c>
      <c r="Q1319">
        <v>200</v>
      </c>
    </row>
    <row r="1320" spans="3:17">
      <c r="C1320" t="s">
        <v>68</v>
      </c>
      <c r="D1320" t="s">
        <v>69</v>
      </c>
      <c r="E1320" t="s">
        <v>189</v>
      </c>
      <c r="G1320" t="s">
        <v>896</v>
      </c>
      <c r="I1320">
        <v>2200001300</v>
      </c>
      <c r="P1320" t="s">
        <v>72</v>
      </c>
      <c r="Q1320">
        <v>208.5</v>
      </c>
    </row>
    <row r="1321" spans="3:17">
      <c r="C1321" t="s">
        <v>68</v>
      </c>
      <c r="D1321" t="s">
        <v>69</v>
      </c>
      <c r="E1321" t="s">
        <v>189</v>
      </c>
      <c r="G1321" t="s">
        <v>178</v>
      </c>
      <c r="I1321">
        <v>2200001352</v>
      </c>
      <c r="P1321" t="s">
        <v>72</v>
      </c>
      <c r="Q1321">
        <v>750</v>
      </c>
    </row>
    <row r="1322" spans="3:17">
      <c r="C1322" t="s">
        <v>68</v>
      </c>
      <c r="D1322" t="s">
        <v>69</v>
      </c>
      <c r="E1322" t="s">
        <v>189</v>
      </c>
      <c r="G1322" t="s">
        <v>897</v>
      </c>
      <c r="I1322">
        <v>2200001366</v>
      </c>
      <c r="P1322" t="s">
        <v>72</v>
      </c>
      <c r="Q1322">
        <v>350</v>
      </c>
    </row>
    <row r="1323" spans="3:17">
      <c r="C1323" t="s">
        <v>68</v>
      </c>
      <c r="D1323" t="s">
        <v>69</v>
      </c>
      <c r="E1323" t="s">
        <v>189</v>
      </c>
      <c r="G1323" t="s">
        <v>898</v>
      </c>
      <c r="I1323">
        <v>2200001398</v>
      </c>
      <c r="P1323" t="s">
        <v>72</v>
      </c>
      <c r="Q1323">
        <v>300</v>
      </c>
    </row>
    <row r="1324" spans="3:17">
      <c r="C1324" t="s">
        <v>68</v>
      </c>
      <c r="D1324" t="s">
        <v>69</v>
      </c>
      <c r="E1324" t="s">
        <v>189</v>
      </c>
      <c r="G1324" t="s">
        <v>178</v>
      </c>
      <c r="I1324">
        <v>2200001422</v>
      </c>
      <c r="P1324" t="s">
        <v>72</v>
      </c>
      <c r="Q1324">
        <v>800</v>
      </c>
    </row>
    <row r="1325" spans="3:17">
      <c r="C1325" t="s">
        <v>68</v>
      </c>
      <c r="D1325" t="s">
        <v>69</v>
      </c>
      <c r="E1325" t="s">
        <v>189</v>
      </c>
      <c r="G1325" t="s">
        <v>905</v>
      </c>
      <c r="I1325">
        <v>2200001372</v>
      </c>
      <c r="P1325" t="s">
        <v>72</v>
      </c>
      <c r="Q1325">
        <v>350</v>
      </c>
    </row>
    <row r="1326" spans="3:17">
      <c r="C1326" t="s">
        <v>68</v>
      </c>
      <c r="D1326" t="s">
        <v>69</v>
      </c>
      <c r="E1326" t="s">
        <v>189</v>
      </c>
      <c r="G1326" t="s">
        <v>900</v>
      </c>
      <c r="I1326">
        <v>2200001407</v>
      </c>
      <c r="P1326" t="s">
        <v>73</v>
      </c>
      <c r="Q1326">
        <v>150</v>
      </c>
    </row>
    <row r="1327" spans="3:17">
      <c r="C1327" t="s">
        <v>68</v>
      </c>
      <c r="D1327" t="s">
        <v>69</v>
      </c>
      <c r="E1327" t="s">
        <v>189</v>
      </c>
      <c r="G1327" t="s">
        <v>899</v>
      </c>
      <c r="I1327">
        <v>2200001440</v>
      </c>
      <c r="P1327" t="s">
        <v>73</v>
      </c>
      <c r="Q1327">
        <v>99</v>
      </c>
    </row>
    <row r="1328" spans="3:17">
      <c r="C1328" t="s">
        <v>68</v>
      </c>
      <c r="D1328" t="s">
        <v>69</v>
      </c>
      <c r="E1328" t="s">
        <v>189</v>
      </c>
      <c r="G1328" t="s">
        <v>188</v>
      </c>
      <c r="I1328">
        <v>2200001503</v>
      </c>
      <c r="P1328" t="s">
        <v>72</v>
      </c>
      <c r="Q1328">
        <v>300</v>
      </c>
    </row>
    <row r="1329" spans="3:17">
      <c r="C1329" t="s">
        <v>68</v>
      </c>
      <c r="D1329" t="s">
        <v>69</v>
      </c>
      <c r="E1329" t="s">
        <v>189</v>
      </c>
      <c r="G1329" t="s">
        <v>813</v>
      </c>
      <c r="I1329">
        <v>2200001557</v>
      </c>
      <c r="P1329" t="s">
        <v>72</v>
      </c>
      <c r="Q1329">
        <v>300</v>
      </c>
    </row>
    <row r="1330" spans="3:17">
      <c r="C1330" t="s">
        <v>68</v>
      </c>
      <c r="D1330" t="s">
        <v>69</v>
      </c>
      <c r="E1330" t="s">
        <v>189</v>
      </c>
      <c r="G1330" t="s">
        <v>900</v>
      </c>
      <c r="I1330">
        <v>2200001622</v>
      </c>
      <c r="P1330" t="s">
        <v>662</v>
      </c>
      <c r="Q1330">
        <v>1000</v>
      </c>
    </row>
    <row r="1331" spans="3:17">
      <c r="C1331" t="s">
        <v>68</v>
      </c>
      <c r="D1331" t="s">
        <v>69</v>
      </c>
      <c r="E1331" t="s">
        <v>378</v>
      </c>
      <c r="G1331" t="s">
        <v>168</v>
      </c>
      <c r="I1331">
        <v>2200001087</v>
      </c>
      <c r="P1331" t="s">
        <v>72</v>
      </c>
      <c r="Q1331">
        <v>300</v>
      </c>
    </row>
    <row r="1332" spans="3:17">
      <c r="C1332" t="s">
        <v>68</v>
      </c>
      <c r="D1332" t="s">
        <v>69</v>
      </c>
      <c r="E1332" t="s">
        <v>237</v>
      </c>
      <c r="G1332" t="s">
        <v>240</v>
      </c>
      <c r="I1332">
        <v>2200001284</v>
      </c>
      <c r="P1332" t="s">
        <v>72</v>
      </c>
      <c r="Q1332">
        <v>50</v>
      </c>
    </row>
    <row r="1333" spans="3:17">
      <c r="C1333" t="s">
        <v>68</v>
      </c>
      <c r="D1333" t="s">
        <v>69</v>
      </c>
      <c r="E1333" t="s">
        <v>177</v>
      </c>
      <c r="G1333" t="s">
        <v>184</v>
      </c>
      <c r="I1333">
        <v>2200000954</v>
      </c>
      <c r="P1333" t="s">
        <v>72</v>
      </c>
      <c r="Q1333">
        <v>250</v>
      </c>
    </row>
    <row r="1334" spans="3:17">
      <c r="C1334" t="s">
        <v>68</v>
      </c>
      <c r="D1334" t="s">
        <v>69</v>
      </c>
      <c r="E1334" t="s">
        <v>299</v>
      </c>
      <c r="G1334" t="s">
        <v>598</v>
      </c>
      <c r="I1334">
        <v>2200001786</v>
      </c>
      <c r="P1334" t="s">
        <v>72</v>
      </c>
      <c r="Q1334">
        <v>150</v>
      </c>
    </row>
    <row r="1335" spans="3:17">
      <c r="C1335" t="s">
        <v>68</v>
      </c>
      <c r="D1335" t="s">
        <v>69</v>
      </c>
      <c r="E1335" t="s">
        <v>392</v>
      </c>
      <c r="G1335" t="s">
        <v>906</v>
      </c>
      <c r="I1335">
        <v>2200001717</v>
      </c>
      <c r="P1335" t="s">
        <v>72</v>
      </c>
      <c r="Q1335">
        <v>200</v>
      </c>
    </row>
    <row r="1336" spans="3:17">
      <c r="C1336" t="s">
        <v>68</v>
      </c>
      <c r="D1336" t="s">
        <v>69</v>
      </c>
      <c r="E1336" t="s">
        <v>392</v>
      </c>
      <c r="G1336" t="s">
        <v>637</v>
      </c>
      <c r="I1336">
        <v>2200001735</v>
      </c>
      <c r="P1336" t="s">
        <v>662</v>
      </c>
      <c r="Q1336">
        <v>600</v>
      </c>
    </row>
    <row r="1337" spans="3:17">
      <c r="C1337" t="s">
        <v>68</v>
      </c>
      <c r="D1337" t="s">
        <v>69</v>
      </c>
      <c r="E1337" t="s">
        <v>177</v>
      </c>
      <c r="G1337" t="s">
        <v>184</v>
      </c>
      <c r="I1337">
        <v>2200001285</v>
      </c>
      <c r="P1337" t="s">
        <v>72</v>
      </c>
      <c r="Q1337">
        <v>50</v>
      </c>
    </row>
    <row r="1338" spans="3:17">
      <c r="C1338" t="s">
        <v>68</v>
      </c>
      <c r="D1338" t="s">
        <v>69</v>
      </c>
      <c r="E1338" t="s">
        <v>189</v>
      </c>
      <c r="G1338" t="s">
        <v>405</v>
      </c>
      <c r="I1338">
        <v>2200001057</v>
      </c>
      <c r="P1338" t="s">
        <v>72</v>
      </c>
      <c r="Q1338">
        <v>100</v>
      </c>
    </row>
    <row r="1339" spans="3:17">
      <c r="C1339" t="s">
        <v>68</v>
      </c>
      <c r="D1339" t="s">
        <v>69</v>
      </c>
      <c r="E1339" t="s">
        <v>189</v>
      </c>
      <c r="G1339" t="s">
        <v>190</v>
      </c>
      <c r="I1339">
        <v>2200001141</v>
      </c>
      <c r="P1339" t="s">
        <v>72</v>
      </c>
      <c r="Q1339">
        <v>300</v>
      </c>
    </row>
    <row r="1340" spans="3:17">
      <c r="C1340" t="s">
        <v>68</v>
      </c>
      <c r="D1340" t="s">
        <v>69</v>
      </c>
      <c r="E1340" t="s">
        <v>189</v>
      </c>
      <c r="G1340" t="s">
        <v>190</v>
      </c>
      <c r="I1340">
        <v>2200001194</v>
      </c>
      <c r="P1340" t="s">
        <v>72</v>
      </c>
      <c r="Q1340">
        <v>300</v>
      </c>
    </row>
    <row r="1341" spans="3:17">
      <c r="C1341" t="s">
        <v>68</v>
      </c>
      <c r="D1341" t="s">
        <v>69</v>
      </c>
      <c r="E1341" t="s">
        <v>189</v>
      </c>
      <c r="G1341" t="s">
        <v>188</v>
      </c>
      <c r="I1341">
        <v>2200001188</v>
      </c>
      <c r="P1341" t="s">
        <v>72</v>
      </c>
      <c r="Q1341">
        <v>250</v>
      </c>
    </row>
    <row r="1342" spans="3:17">
      <c r="C1342" t="s">
        <v>68</v>
      </c>
      <c r="D1342" t="s">
        <v>69</v>
      </c>
      <c r="E1342" t="s">
        <v>189</v>
      </c>
      <c r="G1342" t="s">
        <v>405</v>
      </c>
      <c r="I1342">
        <v>2200001252</v>
      </c>
      <c r="P1342" t="s">
        <v>72</v>
      </c>
      <c r="Q1342">
        <v>74</v>
      </c>
    </row>
    <row r="1343" spans="3:17">
      <c r="C1343" t="s">
        <v>68</v>
      </c>
      <c r="D1343" t="s">
        <v>69</v>
      </c>
      <c r="E1343" t="s">
        <v>901</v>
      </c>
      <c r="G1343" t="s">
        <v>407</v>
      </c>
      <c r="I1343">
        <v>2200000860</v>
      </c>
      <c r="P1343" t="s">
        <v>72</v>
      </c>
      <c r="Q1343">
        <v>300</v>
      </c>
    </row>
    <row r="1344" spans="3:17">
      <c r="C1344" t="s">
        <v>68</v>
      </c>
      <c r="D1344" t="s">
        <v>69</v>
      </c>
      <c r="E1344" t="s">
        <v>902</v>
      </c>
      <c r="G1344" t="s">
        <v>168</v>
      </c>
      <c r="I1344">
        <v>2200001089</v>
      </c>
      <c r="P1344" t="s">
        <v>72</v>
      </c>
      <c r="Q1344">
        <v>300</v>
      </c>
    </row>
    <row r="1345" spans="3:17">
      <c r="C1345" t="s">
        <v>68</v>
      </c>
      <c r="D1345" t="s">
        <v>69</v>
      </c>
      <c r="E1345" t="s">
        <v>902</v>
      </c>
      <c r="G1345" t="s">
        <v>409</v>
      </c>
      <c r="I1345">
        <v>2200001100</v>
      </c>
      <c r="P1345" t="s">
        <v>72</v>
      </c>
      <c r="Q1345">
        <v>300</v>
      </c>
    </row>
    <row r="1346" spans="3:17">
      <c r="C1346" t="s">
        <v>68</v>
      </c>
      <c r="D1346" t="s">
        <v>69</v>
      </c>
      <c r="E1346" t="s">
        <v>903</v>
      </c>
      <c r="G1346" t="s">
        <v>904</v>
      </c>
      <c r="I1346">
        <v>2200001417</v>
      </c>
      <c r="P1346" t="s">
        <v>72</v>
      </c>
      <c r="Q1346">
        <v>400</v>
      </c>
    </row>
    <row r="1347" spans="3:17">
      <c r="C1347" t="s">
        <v>68</v>
      </c>
      <c r="D1347" t="s">
        <v>69</v>
      </c>
      <c r="E1347" t="s">
        <v>903</v>
      </c>
      <c r="G1347" t="s">
        <v>178</v>
      </c>
      <c r="I1347">
        <v>2200001464</v>
      </c>
      <c r="P1347" t="s">
        <v>72</v>
      </c>
      <c r="Q1347">
        <v>1000</v>
      </c>
    </row>
    <row r="1348" spans="3:17">
      <c r="C1348" t="s">
        <v>68</v>
      </c>
      <c r="D1348" t="s">
        <v>69</v>
      </c>
      <c r="E1348" t="s">
        <v>902</v>
      </c>
      <c r="G1348" t="s">
        <v>188</v>
      </c>
      <c r="I1348">
        <v>2200001866</v>
      </c>
      <c r="P1348" t="s">
        <v>72</v>
      </c>
      <c r="Q1348">
        <v>300</v>
      </c>
    </row>
    <row r="1349" spans="3:17">
      <c r="C1349" t="s">
        <v>68</v>
      </c>
      <c r="D1349" t="s">
        <v>69</v>
      </c>
      <c r="E1349" t="s">
        <v>397</v>
      </c>
      <c r="G1349" t="s">
        <v>907</v>
      </c>
      <c r="I1349">
        <v>2200001810</v>
      </c>
      <c r="P1349" t="s">
        <v>72</v>
      </c>
      <c r="Q1349">
        <v>250</v>
      </c>
    </row>
    <row r="1350" spans="3:17">
      <c r="C1350" t="s">
        <v>68</v>
      </c>
      <c r="D1350" t="s">
        <v>69</v>
      </c>
      <c r="E1350" t="s">
        <v>903</v>
      </c>
      <c r="G1350" t="s">
        <v>908</v>
      </c>
      <c r="I1350">
        <v>2200001420</v>
      </c>
      <c r="P1350" t="s">
        <v>72</v>
      </c>
      <c r="Q1350">
        <v>600</v>
      </c>
    </row>
    <row r="1351" spans="3:17">
      <c r="C1351" t="s">
        <v>68</v>
      </c>
      <c r="D1351" t="s">
        <v>69</v>
      </c>
      <c r="E1351" t="s">
        <v>903</v>
      </c>
      <c r="G1351" t="s">
        <v>909</v>
      </c>
      <c r="I1351">
        <v>2200001642</v>
      </c>
      <c r="P1351" t="s">
        <v>72</v>
      </c>
      <c r="Q1351">
        <v>1000</v>
      </c>
    </row>
    <row r="1352" spans="3:17">
      <c r="C1352" t="s">
        <v>68</v>
      </c>
      <c r="D1352" t="s">
        <v>69</v>
      </c>
      <c r="E1352" t="s">
        <v>903</v>
      </c>
      <c r="G1352" t="s">
        <v>383</v>
      </c>
      <c r="I1352">
        <v>2200001700</v>
      </c>
      <c r="P1352" t="s">
        <v>72</v>
      </c>
      <c r="Q1352">
        <v>300</v>
      </c>
    </row>
    <row r="1353" spans="3:17">
      <c r="C1353" t="s">
        <v>68</v>
      </c>
      <c r="D1353" t="s">
        <v>69</v>
      </c>
      <c r="E1353" t="s">
        <v>903</v>
      </c>
      <c r="G1353" t="s">
        <v>188</v>
      </c>
      <c r="I1353">
        <v>2200001781</v>
      </c>
      <c r="P1353" t="s">
        <v>72</v>
      </c>
      <c r="Q1353">
        <v>200</v>
      </c>
    </row>
    <row r="1354" spans="3:17">
      <c r="C1354" t="s">
        <v>68</v>
      </c>
      <c r="D1354" t="s">
        <v>69</v>
      </c>
      <c r="E1354" t="s">
        <v>903</v>
      </c>
      <c r="G1354" t="s">
        <v>188</v>
      </c>
      <c r="I1354">
        <v>2200001864</v>
      </c>
      <c r="P1354" t="s">
        <v>72</v>
      </c>
      <c r="Q1354">
        <v>300</v>
      </c>
    </row>
    <row r="1355" spans="3:17">
      <c r="C1355" t="s">
        <v>68</v>
      </c>
      <c r="D1355" t="s">
        <v>69</v>
      </c>
      <c r="E1355" t="s">
        <v>903</v>
      </c>
      <c r="G1355" t="s">
        <v>188</v>
      </c>
      <c r="I1355">
        <v>2200001865</v>
      </c>
      <c r="P1355" t="s">
        <v>72</v>
      </c>
      <c r="Q1355">
        <v>300</v>
      </c>
    </row>
    <row r="1356" spans="3:17">
      <c r="C1356" t="s">
        <v>68</v>
      </c>
      <c r="D1356" t="s">
        <v>69</v>
      </c>
      <c r="E1356" t="s">
        <v>903</v>
      </c>
      <c r="G1356" t="s">
        <v>240</v>
      </c>
      <c r="I1356">
        <v>2200001827</v>
      </c>
      <c r="P1356" t="s">
        <v>72</v>
      </c>
      <c r="Q1356">
        <v>300</v>
      </c>
    </row>
    <row r="1357" spans="3:17">
      <c r="C1357" t="s">
        <v>68</v>
      </c>
      <c r="D1357" t="s">
        <v>69</v>
      </c>
      <c r="E1357" t="s">
        <v>397</v>
      </c>
      <c r="G1357" t="s">
        <v>637</v>
      </c>
      <c r="I1357">
        <v>2200001901</v>
      </c>
      <c r="P1357" t="s">
        <v>72</v>
      </c>
      <c r="Q1357">
        <v>300</v>
      </c>
    </row>
    <row r="1360" spans="3:17">
      <c r="C1360" t="s">
        <v>525</v>
      </c>
      <c r="E1360" t="s">
        <v>910</v>
      </c>
      <c r="F1360" t="s">
        <v>911</v>
      </c>
    </row>
    <row r="1368" spans="3:6">
      <c r="C1368" t="s">
        <v>525</v>
      </c>
      <c r="E1368" t="s">
        <v>912</v>
      </c>
      <c r="F1368" t="s">
        <v>913</v>
      </c>
    </row>
    <row r="1381" spans="3:6">
      <c r="C1381" t="s">
        <v>525</v>
      </c>
      <c r="E1381" t="s">
        <v>914</v>
      </c>
      <c r="F1381" t="s">
        <v>915</v>
      </c>
    </row>
    <row r="1389" spans="3:6">
      <c r="C1389" t="s">
        <v>525</v>
      </c>
      <c r="E1389" t="s">
        <v>916</v>
      </c>
      <c r="F1389" t="s">
        <v>917</v>
      </c>
    </row>
    <row r="1395" spans="3:6">
      <c r="C1395" t="s">
        <v>525</v>
      </c>
      <c r="E1395" t="s">
        <v>918</v>
      </c>
      <c r="F1395" t="s">
        <v>919</v>
      </c>
    </row>
    <row r="1399" spans="3:6">
      <c r="C1399" t="s">
        <v>525</v>
      </c>
      <c r="E1399" t="s">
        <v>920</v>
      </c>
    </row>
    <row r="1403" spans="3:6">
      <c r="C1403" t="s">
        <v>525</v>
      </c>
      <c r="E1403" t="s">
        <v>921</v>
      </c>
      <c r="F1403" t="s">
        <v>922</v>
      </c>
    </row>
    <row r="1408" spans="3:6">
      <c r="C1408" t="s">
        <v>525</v>
      </c>
      <c r="E1408" t="s">
        <v>923</v>
      </c>
      <c r="F1408" t="s">
        <v>924</v>
      </c>
    </row>
    <row r="1411" spans="3:6">
      <c r="C1411" t="s">
        <v>525</v>
      </c>
      <c r="E1411" t="s">
        <v>925</v>
      </c>
      <c r="F1411" t="s">
        <v>926</v>
      </c>
    </row>
    <row r="1413" spans="3:6">
      <c r="C1413" t="s">
        <v>525</v>
      </c>
      <c r="E1413" t="s">
        <v>927</v>
      </c>
      <c r="F1413" t="s">
        <v>928</v>
      </c>
    </row>
    <row r="1420" spans="3:6">
      <c r="C1420" t="s">
        <v>525</v>
      </c>
      <c r="E1420" t="s">
        <v>605</v>
      </c>
    </row>
    <row r="1422" spans="3:6">
      <c r="C1422" t="s">
        <v>525</v>
      </c>
      <c r="E1422" t="s">
        <v>929</v>
      </c>
      <c r="F1422" t="s">
        <v>930</v>
      </c>
    </row>
    <row r="1424" spans="3:6">
      <c r="C1424" t="s">
        <v>525</v>
      </c>
      <c r="E1424" t="s">
        <v>931</v>
      </c>
      <c r="F1424" t="s">
        <v>932</v>
      </c>
    </row>
    <row r="1427" spans="3:6">
      <c r="C1427" t="s">
        <v>525</v>
      </c>
      <c r="E1427" t="s">
        <v>933</v>
      </c>
      <c r="F1427" t="s">
        <v>934</v>
      </c>
    </row>
    <row r="1435" spans="3:6">
      <c r="C1435" t="s">
        <v>525</v>
      </c>
      <c r="E1435" t="s">
        <v>935</v>
      </c>
      <c r="F1435" t="s">
        <v>936</v>
      </c>
    </row>
    <row r="1437" spans="3:6">
      <c r="C1437" t="s">
        <v>417</v>
      </c>
      <c r="E1437" t="s">
        <v>937</v>
      </c>
      <c r="F1437" t="s">
        <v>938</v>
      </c>
    </row>
    <row r="1448" spans="3:6">
      <c r="C1448" t="s">
        <v>417</v>
      </c>
      <c r="E1448" t="s">
        <v>939</v>
      </c>
      <c r="F1448" t="s">
        <v>940</v>
      </c>
    </row>
    <row r="1450" spans="3:6">
      <c r="C1450" t="s">
        <v>417</v>
      </c>
      <c r="E1450" t="s">
        <v>941</v>
      </c>
    </row>
    <row r="1452" spans="3:6">
      <c r="C1452" t="s">
        <v>417</v>
      </c>
      <c r="E1452" t="s">
        <v>942</v>
      </c>
      <c r="F1452" t="s">
        <v>943</v>
      </c>
    </row>
    <row r="1466" spans="3:6">
      <c r="C1466" t="s">
        <v>417</v>
      </c>
      <c r="E1466" t="s">
        <v>944</v>
      </c>
      <c r="F1466" t="s">
        <v>945</v>
      </c>
    </row>
    <row r="1479" spans="3:6">
      <c r="C1479" t="s">
        <v>417</v>
      </c>
      <c r="E1479" t="s">
        <v>946</v>
      </c>
      <c r="F1479" t="s">
        <v>947</v>
      </c>
    </row>
    <row r="1482" spans="3:6">
      <c r="C1482" t="s">
        <v>417</v>
      </c>
      <c r="E1482" t="s">
        <v>948</v>
      </c>
      <c r="F1482" t="s">
        <v>949</v>
      </c>
    </row>
    <row r="1485" spans="3:6">
      <c r="C1485" t="s">
        <v>417</v>
      </c>
      <c r="E1485" t="s">
        <v>950</v>
      </c>
      <c r="F1485" t="s">
        <v>951</v>
      </c>
    </row>
    <row r="1499" spans="3:6">
      <c r="C1499" t="s">
        <v>417</v>
      </c>
      <c r="E1499" t="s">
        <v>952</v>
      </c>
      <c r="F1499" t="s">
        <v>953</v>
      </c>
    </row>
    <row r="1502" spans="3:6">
      <c r="C1502" t="s">
        <v>417</v>
      </c>
      <c r="E1502" t="s">
        <v>954</v>
      </c>
      <c r="F1502" t="s">
        <v>955</v>
      </c>
    </row>
    <row r="1513" spans="3:6">
      <c r="C1513" t="s">
        <v>417</v>
      </c>
      <c r="E1513" t="s">
        <v>956</v>
      </c>
    </row>
    <row r="1515" spans="3:6">
      <c r="C1515" t="s">
        <v>417</v>
      </c>
      <c r="E1515" t="s">
        <v>957</v>
      </c>
    </row>
    <row r="1519" spans="3:6">
      <c r="C1519" t="s">
        <v>68</v>
      </c>
      <c r="E1519" t="s">
        <v>958</v>
      </c>
      <c r="F1519" t="s">
        <v>959</v>
      </c>
    </row>
    <row r="1534" spans="3:6">
      <c r="C1534" t="s">
        <v>68</v>
      </c>
      <c r="E1534" t="s">
        <v>960</v>
      </c>
      <c r="F1534" t="s">
        <v>961</v>
      </c>
    </row>
    <row r="1539" spans="3:6">
      <c r="C1539" t="s">
        <v>68</v>
      </c>
      <c r="E1539" t="s">
        <v>962</v>
      </c>
      <c r="F1539" t="s">
        <v>963</v>
      </c>
    </row>
    <row r="1543" spans="3:6">
      <c r="C1543" t="s">
        <v>68</v>
      </c>
      <c r="E1543" t="s">
        <v>964</v>
      </c>
      <c r="F1543" t="s">
        <v>965</v>
      </c>
    </row>
    <row r="1558" spans="3:6">
      <c r="C1558" t="s">
        <v>68</v>
      </c>
      <c r="E1558" t="s">
        <v>966</v>
      </c>
      <c r="F1558" t="s">
        <v>967</v>
      </c>
    </row>
    <row r="1579" spans="3:6">
      <c r="C1579" t="s">
        <v>68</v>
      </c>
      <c r="E1579" t="s">
        <v>968</v>
      </c>
      <c r="F1579" t="s">
        <v>969</v>
      </c>
    </row>
    <row r="1593" spans="3:6">
      <c r="C1593" t="s">
        <v>68</v>
      </c>
      <c r="E1593" t="s">
        <v>970</v>
      </c>
      <c r="F1593" t="s">
        <v>971</v>
      </c>
    </row>
    <row r="1609" spans="3:6">
      <c r="C1609" t="s">
        <v>68</v>
      </c>
      <c r="E1609" t="s">
        <v>972</v>
      </c>
      <c r="F1609" t="s">
        <v>973</v>
      </c>
    </row>
    <row r="1618" spans="3:6">
      <c r="C1618" t="s">
        <v>68</v>
      </c>
      <c r="E1618" t="s">
        <v>974</v>
      </c>
      <c r="F1618" t="s">
        <v>975</v>
      </c>
    </row>
    <row r="1621" spans="3:6">
      <c r="C1621" t="s">
        <v>68</v>
      </c>
      <c r="E1621" t="s">
        <v>976</v>
      </c>
      <c r="F1621" t="s">
        <v>977</v>
      </c>
    </row>
    <row r="1625" spans="3:6">
      <c r="C1625" t="s">
        <v>68</v>
      </c>
      <c r="E1625" t="s">
        <v>978</v>
      </c>
      <c r="F1625" t="s">
        <v>979</v>
      </c>
    </row>
    <row r="1627" spans="3:6">
      <c r="E1627" t="s">
        <v>980</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107"/>
  <sheetViews>
    <sheetView workbookViewId="0">
      <selection activeCell="A4" sqref="A4"/>
    </sheetView>
  </sheetViews>
  <sheetFormatPr defaultRowHeight="12.5"/>
  <cols>
    <col min="1" max="1" width="39.7265625" customWidth="1"/>
  </cols>
  <sheetData>
    <row r="2" spans="1:17" ht="39" customHeight="1">
      <c r="B2" s="11" t="s">
        <v>30</v>
      </c>
      <c r="C2" s="11" t="s">
        <v>31</v>
      </c>
      <c r="D2" s="11" t="s">
        <v>981</v>
      </c>
      <c r="E2" s="11" t="s">
        <v>982</v>
      </c>
      <c r="F2" s="11" t="s">
        <v>983</v>
      </c>
      <c r="G2" s="11" t="s">
        <v>984</v>
      </c>
      <c r="H2" s="11" t="s">
        <v>72</v>
      </c>
      <c r="I2" s="11" t="s">
        <v>73</v>
      </c>
      <c r="J2" s="11" t="s">
        <v>74</v>
      </c>
      <c r="K2" s="11" t="s">
        <v>985</v>
      </c>
      <c r="L2" s="11" t="s">
        <v>986</v>
      </c>
      <c r="M2" s="11" t="s">
        <v>987</v>
      </c>
      <c r="N2" s="11" t="s">
        <v>988</v>
      </c>
      <c r="O2" s="11" t="s">
        <v>989</v>
      </c>
      <c r="P2" s="11" t="s">
        <v>990</v>
      </c>
      <c r="Q2" s="11" t="s">
        <v>67</v>
      </c>
    </row>
    <row r="3" spans="1:17">
      <c r="B3" s="14"/>
      <c r="C3" s="14"/>
      <c r="D3" s="14" t="s">
        <v>241</v>
      </c>
      <c r="E3" s="14"/>
      <c r="F3" s="14"/>
      <c r="G3" s="14" t="s">
        <v>241</v>
      </c>
      <c r="H3" s="39">
        <v>1.85</v>
      </c>
      <c r="I3" s="14"/>
      <c r="J3" s="14"/>
      <c r="K3" s="14"/>
      <c r="L3" s="14"/>
      <c r="M3" s="14"/>
      <c r="N3" s="14"/>
      <c r="O3" s="14"/>
      <c r="P3" s="14"/>
      <c r="Q3" s="14"/>
    </row>
    <row r="4" spans="1:17">
      <c r="A4" t="s">
        <v>991</v>
      </c>
      <c r="D4" t="s">
        <v>241</v>
      </c>
      <c r="G4" t="s">
        <v>241</v>
      </c>
      <c r="H4" s="40">
        <v>2.95</v>
      </c>
    </row>
    <row r="5" spans="1:17">
      <c r="D5" t="s">
        <v>992</v>
      </c>
      <c r="G5" t="s">
        <v>992</v>
      </c>
      <c r="H5" s="40">
        <v>5.5</v>
      </c>
    </row>
    <row r="6" spans="1:17">
      <c r="D6" t="s">
        <v>993</v>
      </c>
      <c r="G6" t="s">
        <v>993</v>
      </c>
      <c r="H6" s="40">
        <v>2.5</v>
      </c>
    </row>
    <row r="7" spans="1:17">
      <c r="D7" t="s">
        <v>994</v>
      </c>
      <c r="G7" t="s">
        <v>994</v>
      </c>
      <c r="H7" s="40">
        <v>2.5</v>
      </c>
    </row>
    <row r="8" spans="1:17">
      <c r="D8" t="s">
        <v>995</v>
      </c>
      <c r="G8" t="s">
        <v>995</v>
      </c>
      <c r="H8" s="40">
        <v>2.5</v>
      </c>
    </row>
    <row r="9" spans="1:17">
      <c r="C9" t="s">
        <v>69</v>
      </c>
      <c r="H9" s="40">
        <v>15</v>
      </c>
      <c r="I9" s="40">
        <v>1</v>
      </c>
      <c r="L9" s="40">
        <v>60</v>
      </c>
      <c r="Q9" t="s">
        <v>996</v>
      </c>
    </row>
    <row r="10" spans="1:17">
      <c r="C10" t="s">
        <v>997</v>
      </c>
      <c r="H10" s="40">
        <v>18</v>
      </c>
      <c r="I10" s="40">
        <v>2</v>
      </c>
      <c r="L10" s="40">
        <v>33</v>
      </c>
    </row>
    <row r="11" spans="1:17">
      <c r="C11" t="s">
        <v>682</v>
      </c>
      <c r="H11" s="40">
        <v>8</v>
      </c>
      <c r="I11" s="40">
        <v>3</v>
      </c>
      <c r="L11" s="40">
        <v>9</v>
      </c>
    </row>
    <row r="12" spans="1:17">
      <c r="C12" t="s">
        <v>661</v>
      </c>
      <c r="H12" s="40">
        <v>5</v>
      </c>
      <c r="I12" s="40">
        <v>4</v>
      </c>
      <c r="L12" s="40">
        <v>5</v>
      </c>
      <c r="Q12" t="s">
        <v>998</v>
      </c>
    </row>
    <row r="13" spans="1:17">
      <c r="C13" t="s">
        <v>999</v>
      </c>
      <c r="H13" s="40">
        <v>3</v>
      </c>
      <c r="I13" s="40">
        <v>5</v>
      </c>
      <c r="L13" s="40">
        <v>10</v>
      </c>
    </row>
    <row r="14" spans="1:17">
      <c r="C14" t="s">
        <v>1000</v>
      </c>
      <c r="H14" s="40">
        <v>2</v>
      </c>
      <c r="I14" s="40">
        <v>6</v>
      </c>
      <c r="L14" s="40">
        <v>6</v>
      </c>
    </row>
    <row r="15" spans="1:17">
      <c r="C15" t="s">
        <v>526</v>
      </c>
      <c r="H15" s="40">
        <v>5</v>
      </c>
      <c r="I15" s="40">
        <v>7</v>
      </c>
      <c r="L15" s="40">
        <v>5</v>
      </c>
      <c r="Q15" t="s">
        <v>998</v>
      </c>
    </row>
    <row r="16" spans="1:17">
      <c r="C16" t="s">
        <v>656</v>
      </c>
      <c r="H16" s="40">
        <v>2</v>
      </c>
      <c r="I16" s="40">
        <v>8</v>
      </c>
      <c r="L16" s="40">
        <v>5.5</v>
      </c>
    </row>
    <row r="17" spans="3:17">
      <c r="C17" t="s">
        <v>69</v>
      </c>
      <c r="H17" s="40">
        <v>30</v>
      </c>
      <c r="I17" s="40">
        <v>75</v>
      </c>
    </row>
    <row r="18" spans="3:17">
      <c r="C18" t="s">
        <v>997</v>
      </c>
      <c r="H18" s="40">
        <v>10</v>
      </c>
      <c r="I18" s="40">
        <v>51</v>
      </c>
      <c r="L18" s="40">
        <v>10</v>
      </c>
    </row>
    <row r="19" spans="3:17">
      <c r="C19" t="s">
        <v>682</v>
      </c>
      <c r="H19" s="40">
        <v>2</v>
      </c>
      <c r="I19" s="40">
        <v>17</v>
      </c>
      <c r="L19" s="40">
        <v>2</v>
      </c>
    </row>
    <row r="20" spans="3:17">
      <c r="C20" t="s">
        <v>661</v>
      </c>
      <c r="H20" s="40">
        <v>5</v>
      </c>
      <c r="I20" s="40">
        <v>5</v>
      </c>
    </row>
    <row r="21" spans="3:17">
      <c r="C21" t="s">
        <v>999</v>
      </c>
      <c r="H21" s="40">
        <v>1</v>
      </c>
      <c r="I21" s="40">
        <v>13</v>
      </c>
      <c r="L21" s="40">
        <v>2.5</v>
      </c>
    </row>
    <row r="22" spans="3:17">
      <c r="C22" t="s">
        <v>1000</v>
      </c>
      <c r="H22" s="40">
        <v>2</v>
      </c>
      <c r="I22" s="40">
        <v>8</v>
      </c>
    </row>
    <row r="23" spans="3:17">
      <c r="C23" t="s">
        <v>526</v>
      </c>
      <c r="H23" s="40">
        <v>5</v>
      </c>
      <c r="I23" s="40">
        <v>5</v>
      </c>
    </row>
    <row r="24" spans="3:17">
      <c r="C24" t="s">
        <v>656</v>
      </c>
      <c r="H24" s="40">
        <v>1</v>
      </c>
      <c r="I24" s="40">
        <v>7.5</v>
      </c>
      <c r="L24" s="40">
        <v>1</v>
      </c>
    </row>
    <row r="25" spans="3:17">
      <c r="C25" t="s">
        <v>69</v>
      </c>
      <c r="H25" s="40">
        <v>60</v>
      </c>
      <c r="I25" s="40">
        <v>15</v>
      </c>
      <c r="L25" s="40">
        <v>67.5</v>
      </c>
    </row>
    <row r="26" spans="3:17">
      <c r="C26" t="s">
        <v>526</v>
      </c>
    </row>
    <row r="27" spans="3:17">
      <c r="C27" t="s">
        <v>656</v>
      </c>
    </row>
    <row r="28" spans="3:17">
      <c r="C28" t="s">
        <v>656</v>
      </c>
      <c r="H28" s="40">
        <v>5.5</v>
      </c>
      <c r="I28" s="40">
        <v>2</v>
      </c>
      <c r="L28" s="40">
        <v>6.5</v>
      </c>
      <c r="Q28" t="s">
        <v>1001</v>
      </c>
    </row>
    <row r="29" spans="3:17">
      <c r="C29" t="s">
        <v>1000</v>
      </c>
    </row>
    <row r="30" spans="3:17">
      <c r="C30" t="s">
        <v>1000</v>
      </c>
      <c r="H30" s="40">
        <v>6</v>
      </c>
      <c r="I30" s="40">
        <v>2</v>
      </c>
      <c r="L30" s="40">
        <v>8</v>
      </c>
    </row>
    <row r="31" spans="3:17">
      <c r="C31" t="s">
        <v>997</v>
      </c>
    </row>
    <row r="32" spans="3:17">
      <c r="C32" t="s">
        <v>997</v>
      </c>
      <c r="H32" s="40">
        <v>33</v>
      </c>
      <c r="I32" s="40">
        <v>18</v>
      </c>
      <c r="L32" s="40">
        <v>41</v>
      </c>
    </row>
    <row r="33" spans="3:17">
      <c r="C33" t="s">
        <v>682</v>
      </c>
    </row>
    <row r="34" spans="3:17">
      <c r="C34" t="s">
        <v>682</v>
      </c>
      <c r="H34" s="40">
        <v>9</v>
      </c>
      <c r="I34" s="40">
        <v>8</v>
      </c>
      <c r="L34" s="40">
        <v>14</v>
      </c>
    </row>
    <row r="35" spans="3:17">
      <c r="C35" t="s">
        <v>999</v>
      </c>
    </row>
    <row r="36" spans="3:17">
      <c r="C36" t="s">
        <v>999</v>
      </c>
      <c r="H36" s="40">
        <v>10</v>
      </c>
      <c r="I36" s="40">
        <v>3</v>
      </c>
      <c r="L36" s="40">
        <v>11.5</v>
      </c>
      <c r="Q36" t="s">
        <v>1002</v>
      </c>
    </row>
    <row r="37" spans="3:17">
      <c r="C37" t="s">
        <v>661</v>
      </c>
    </row>
    <row r="38" spans="3:17">
      <c r="C38" t="s">
        <v>999</v>
      </c>
      <c r="D38" t="s">
        <v>241</v>
      </c>
      <c r="G38" t="s">
        <v>241</v>
      </c>
      <c r="H38" s="40">
        <v>8</v>
      </c>
      <c r="I38" s="40">
        <v>8.1</v>
      </c>
      <c r="L38" s="40">
        <v>400</v>
      </c>
    </row>
    <row r="39" spans="3:17">
      <c r="C39" t="s">
        <v>999</v>
      </c>
      <c r="D39" t="s">
        <v>241</v>
      </c>
      <c r="G39" t="s">
        <v>241</v>
      </c>
      <c r="H39" s="40">
        <v>400</v>
      </c>
    </row>
    <row r="40" spans="3:17">
      <c r="C40" t="s">
        <v>999</v>
      </c>
      <c r="D40" t="s">
        <v>241</v>
      </c>
      <c r="G40" t="s">
        <v>241</v>
      </c>
      <c r="H40" s="40">
        <v>300</v>
      </c>
    </row>
    <row r="41" spans="3:17">
      <c r="C41" t="s">
        <v>999</v>
      </c>
      <c r="D41" t="s">
        <v>241</v>
      </c>
      <c r="G41" t="s">
        <v>241</v>
      </c>
      <c r="H41" s="40">
        <v>9</v>
      </c>
      <c r="I41" s="40">
        <v>8.1</v>
      </c>
      <c r="L41" s="40">
        <v>400</v>
      </c>
    </row>
    <row r="42" spans="3:17">
      <c r="C42" t="s">
        <v>999</v>
      </c>
      <c r="D42" t="s">
        <v>994</v>
      </c>
      <c r="G42" t="s">
        <v>994</v>
      </c>
      <c r="H42" s="40">
        <v>12</v>
      </c>
      <c r="I42" s="40">
        <v>1000</v>
      </c>
      <c r="L42" s="40">
        <v>400</v>
      </c>
    </row>
    <row r="43" spans="3:17">
      <c r="C43" t="s">
        <v>999</v>
      </c>
      <c r="D43" t="s">
        <v>994</v>
      </c>
      <c r="G43" t="s">
        <v>994</v>
      </c>
      <c r="H43" s="40">
        <v>400</v>
      </c>
    </row>
    <row r="44" spans="3:17">
      <c r="C44" t="s">
        <v>999</v>
      </c>
      <c r="D44" t="s">
        <v>995</v>
      </c>
      <c r="G44" t="s">
        <v>995</v>
      </c>
      <c r="H44" s="40">
        <v>13</v>
      </c>
      <c r="I44" s="40">
        <v>2500</v>
      </c>
      <c r="L44" s="40">
        <v>400</v>
      </c>
    </row>
    <row r="45" spans="3:17">
      <c r="C45" t="s">
        <v>999</v>
      </c>
      <c r="D45" t="s">
        <v>995</v>
      </c>
      <c r="G45" t="s">
        <v>995</v>
      </c>
      <c r="H45" s="40">
        <v>400</v>
      </c>
    </row>
    <row r="46" spans="3:17">
      <c r="C46" t="s">
        <v>999</v>
      </c>
      <c r="D46" t="s">
        <v>995</v>
      </c>
      <c r="G46" t="s">
        <v>995</v>
      </c>
      <c r="H46" s="40">
        <v>2</v>
      </c>
    </row>
    <row r="47" spans="3:17">
      <c r="C47" t="s">
        <v>999</v>
      </c>
      <c r="D47" t="s">
        <v>994</v>
      </c>
      <c r="G47" t="s">
        <v>994</v>
      </c>
      <c r="H47" s="40">
        <v>11</v>
      </c>
      <c r="I47" s="40">
        <v>1500</v>
      </c>
      <c r="L47" s="40">
        <v>400</v>
      </c>
    </row>
    <row r="48" spans="3:17">
      <c r="C48" t="s">
        <v>999</v>
      </c>
      <c r="D48" t="s">
        <v>992</v>
      </c>
      <c r="G48" t="s">
        <v>992</v>
      </c>
      <c r="H48" s="40">
        <v>1</v>
      </c>
      <c r="I48" s="40">
        <v>2500</v>
      </c>
      <c r="L48" s="40">
        <v>400</v>
      </c>
    </row>
    <row r="49" spans="3:17">
      <c r="C49" t="s">
        <v>999</v>
      </c>
      <c r="D49" t="s">
        <v>992</v>
      </c>
      <c r="G49" t="s">
        <v>992</v>
      </c>
      <c r="H49" s="40">
        <v>400</v>
      </c>
    </row>
    <row r="50" spans="3:17">
      <c r="C50" t="s">
        <v>999</v>
      </c>
      <c r="D50" t="s">
        <v>993</v>
      </c>
      <c r="G50" t="s">
        <v>993</v>
      </c>
      <c r="H50" s="40">
        <v>400</v>
      </c>
    </row>
    <row r="51" spans="3:17">
      <c r="C51" t="s">
        <v>999</v>
      </c>
      <c r="D51" t="s">
        <v>992</v>
      </c>
      <c r="G51" t="s">
        <v>992</v>
      </c>
      <c r="H51" s="40">
        <v>3</v>
      </c>
      <c r="I51" s="40">
        <v>3000</v>
      </c>
      <c r="L51" s="40">
        <v>765</v>
      </c>
    </row>
    <row r="52" spans="3:17">
      <c r="C52" t="s">
        <v>999</v>
      </c>
      <c r="D52" t="s">
        <v>992</v>
      </c>
      <c r="G52" t="s">
        <v>992</v>
      </c>
      <c r="H52" s="40">
        <v>765</v>
      </c>
    </row>
    <row r="53" spans="3:17">
      <c r="C53" t="s">
        <v>69</v>
      </c>
      <c r="H53" s="40">
        <v>7</v>
      </c>
      <c r="I53" s="40">
        <v>0</v>
      </c>
      <c r="L53" s="40">
        <v>7</v>
      </c>
    </row>
    <row r="54" spans="3:17">
      <c r="C54" t="s">
        <v>69</v>
      </c>
      <c r="H54" s="40">
        <v>6</v>
      </c>
      <c r="I54" s="40">
        <v>6</v>
      </c>
      <c r="L54" s="40">
        <v>12</v>
      </c>
    </row>
    <row r="55" spans="3:17">
      <c r="C55" t="s">
        <v>69</v>
      </c>
      <c r="H55" s="40">
        <v>6</v>
      </c>
      <c r="I55" s="40">
        <v>4</v>
      </c>
      <c r="L55" s="40">
        <v>10</v>
      </c>
    </row>
    <row r="56" spans="3:17">
      <c r="C56" t="s">
        <v>69</v>
      </c>
      <c r="H56" s="40">
        <v>3</v>
      </c>
      <c r="I56" s="40">
        <v>0</v>
      </c>
      <c r="L56" s="40">
        <v>3</v>
      </c>
    </row>
    <row r="57" spans="3:17">
      <c r="C57" t="s">
        <v>69</v>
      </c>
      <c r="H57" s="40">
        <v>2</v>
      </c>
      <c r="I57" s="40">
        <v>0</v>
      </c>
      <c r="L57" s="40">
        <v>2</v>
      </c>
    </row>
    <row r="58" spans="3:17">
      <c r="C58" t="s">
        <v>69</v>
      </c>
      <c r="H58" s="40">
        <v>3</v>
      </c>
      <c r="I58" s="40">
        <v>2</v>
      </c>
      <c r="L58" s="40">
        <v>5</v>
      </c>
    </row>
    <row r="59" spans="3:17">
      <c r="C59" t="s">
        <v>69</v>
      </c>
      <c r="H59" s="40">
        <v>4</v>
      </c>
      <c r="I59" s="40">
        <v>3</v>
      </c>
      <c r="L59" s="40">
        <v>7</v>
      </c>
    </row>
    <row r="60" spans="3:17">
      <c r="C60" t="s">
        <v>69</v>
      </c>
      <c r="H60" s="40">
        <v>6</v>
      </c>
      <c r="I60" s="40">
        <v>0</v>
      </c>
      <c r="L60" s="40">
        <v>6</v>
      </c>
    </row>
    <row r="61" spans="3:17">
      <c r="C61" t="s">
        <v>69</v>
      </c>
      <c r="H61" s="40">
        <v>5</v>
      </c>
      <c r="I61" s="40">
        <v>0</v>
      </c>
      <c r="L61" s="40">
        <v>5</v>
      </c>
    </row>
    <row r="62" spans="3:17">
      <c r="C62" t="s">
        <v>656</v>
      </c>
      <c r="H62" s="40">
        <v>1</v>
      </c>
      <c r="I62" s="40">
        <v>0</v>
      </c>
      <c r="L62" s="40">
        <v>1</v>
      </c>
    </row>
    <row r="63" spans="3:17">
      <c r="C63" t="s">
        <v>656</v>
      </c>
      <c r="H63" s="40">
        <v>1</v>
      </c>
      <c r="I63" s="40">
        <v>1</v>
      </c>
      <c r="L63" s="40">
        <v>2</v>
      </c>
    </row>
    <row r="64" spans="3:17">
      <c r="C64" t="s">
        <v>656</v>
      </c>
      <c r="H64" s="40">
        <v>2.5</v>
      </c>
      <c r="I64" s="40">
        <v>2.5</v>
      </c>
      <c r="L64" s="40">
        <v>0</v>
      </c>
      <c r="Q64" t="s">
        <v>1003</v>
      </c>
    </row>
    <row r="65" spans="3:17">
      <c r="C65" t="s">
        <v>526</v>
      </c>
      <c r="H65" s="40">
        <v>5</v>
      </c>
      <c r="I65" s="40">
        <v>5</v>
      </c>
      <c r="L65" s="40">
        <v>2</v>
      </c>
    </row>
    <row r="66" spans="3:17">
      <c r="C66" t="s">
        <v>999</v>
      </c>
      <c r="H66" s="40">
        <v>2.5</v>
      </c>
      <c r="I66" s="40">
        <v>1</v>
      </c>
      <c r="L66" s="40">
        <v>3.5</v>
      </c>
    </row>
    <row r="67" spans="3:17">
      <c r="C67" t="s">
        <v>999</v>
      </c>
      <c r="H67" s="40">
        <v>2.5</v>
      </c>
      <c r="I67" s="40">
        <v>0</v>
      </c>
      <c r="L67" s="40">
        <v>2.5</v>
      </c>
      <c r="Q67" t="s">
        <v>1004</v>
      </c>
    </row>
    <row r="68" spans="3:17">
      <c r="C68" t="s">
        <v>682</v>
      </c>
      <c r="H68" s="40">
        <v>2</v>
      </c>
      <c r="I68" s="40">
        <v>2</v>
      </c>
      <c r="L68" s="40">
        <v>4</v>
      </c>
    </row>
    <row r="69" spans="3:17">
      <c r="C69" t="s">
        <v>682</v>
      </c>
      <c r="H69" s="40">
        <v>0</v>
      </c>
      <c r="I69" s="40">
        <v>2</v>
      </c>
      <c r="L69" s="40">
        <v>2</v>
      </c>
    </row>
    <row r="70" spans="3:17">
      <c r="C70" t="s">
        <v>682</v>
      </c>
      <c r="H70" s="40">
        <v>1.5</v>
      </c>
      <c r="I70" s="40">
        <v>0</v>
      </c>
      <c r="L70" s="40">
        <v>1.5</v>
      </c>
    </row>
    <row r="71" spans="3:17">
      <c r="C71" t="s">
        <v>661</v>
      </c>
      <c r="H71" s="40">
        <v>5</v>
      </c>
      <c r="I71" s="40">
        <v>5</v>
      </c>
      <c r="L71" s="40">
        <v>0</v>
      </c>
    </row>
    <row r="72" spans="3:17">
      <c r="C72" t="s">
        <v>661</v>
      </c>
      <c r="E72" t="s">
        <v>675</v>
      </c>
      <c r="F72" t="s">
        <v>675</v>
      </c>
      <c r="H72" s="40">
        <v>7</v>
      </c>
      <c r="I72" s="40">
        <v>0</v>
      </c>
      <c r="K72" s="40">
        <v>0</v>
      </c>
      <c r="L72" s="40">
        <v>7</v>
      </c>
    </row>
    <row r="73" spans="3:17">
      <c r="C73" t="s">
        <v>661</v>
      </c>
      <c r="E73" t="s">
        <v>277</v>
      </c>
      <c r="F73" t="s">
        <v>277</v>
      </c>
      <c r="H73" s="40">
        <v>7</v>
      </c>
      <c r="I73" s="40">
        <v>0</v>
      </c>
      <c r="K73" s="40">
        <v>0</v>
      </c>
      <c r="L73" s="40">
        <v>7</v>
      </c>
    </row>
    <row r="74" spans="3:17">
      <c r="C74" t="s">
        <v>661</v>
      </c>
      <c r="E74" t="s">
        <v>1005</v>
      </c>
      <c r="F74" t="s">
        <v>1005</v>
      </c>
      <c r="H74" s="40">
        <v>6</v>
      </c>
      <c r="I74" s="40">
        <v>6</v>
      </c>
      <c r="K74" s="40">
        <v>2</v>
      </c>
      <c r="L74" s="40">
        <v>12</v>
      </c>
    </row>
    <row r="75" spans="3:17">
      <c r="C75" t="s">
        <v>661</v>
      </c>
      <c r="E75" t="s">
        <v>385</v>
      </c>
      <c r="F75" t="s">
        <v>385</v>
      </c>
      <c r="H75" s="40">
        <v>6</v>
      </c>
      <c r="I75" s="40">
        <v>4</v>
      </c>
      <c r="K75" s="40">
        <v>2</v>
      </c>
      <c r="L75" s="40">
        <v>10</v>
      </c>
    </row>
    <row r="76" spans="3:17">
      <c r="C76" t="s">
        <v>661</v>
      </c>
      <c r="E76" t="s">
        <v>378</v>
      </c>
      <c r="F76" t="s">
        <v>378</v>
      </c>
      <c r="H76" s="40">
        <v>3</v>
      </c>
      <c r="I76" s="40">
        <v>0</v>
      </c>
      <c r="K76" s="40">
        <v>0</v>
      </c>
      <c r="L76" s="40">
        <v>3</v>
      </c>
    </row>
    <row r="77" spans="3:17">
      <c r="C77" t="s">
        <v>661</v>
      </c>
      <c r="E77" t="s">
        <v>397</v>
      </c>
      <c r="F77" t="s">
        <v>397</v>
      </c>
      <c r="H77" s="40">
        <v>3</v>
      </c>
      <c r="I77" s="40">
        <v>0</v>
      </c>
      <c r="K77" s="40">
        <v>0</v>
      </c>
      <c r="L77" s="40">
        <v>3</v>
      </c>
    </row>
    <row r="78" spans="3:17">
      <c r="C78" t="s">
        <v>661</v>
      </c>
      <c r="E78" t="s">
        <v>399</v>
      </c>
      <c r="F78" t="s">
        <v>399</v>
      </c>
      <c r="H78" s="40">
        <v>3</v>
      </c>
      <c r="I78" s="40">
        <v>0</v>
      </c>
      <c r="K78" s="40">
        <v>0</v>
      </c>
      <c r="L78" s="40">
        <v>3</v>
      </c>
    </row>
    <row r="79" spans="3:17">
      <c r="C79" t="s">
        <v>661</v>
      </c>
      <c r="E79" t="s">
        <v>902</v>
      </c>
      <c r="F79" t="s">
        <v>902</v>
      </c>
      <c r="H79" s="40">
        <v>3</v>
      </c>
      <c r="I79" s="40">
        <v>0</v>
      </c>
      <c r="K79" s="40">
        <v>0</v>
      </c>
      <c r="L79" s="40">
        <v>3</v>
      </c>
    </row>
    <row r="80" spans="3:17">
      <c r="C80" t="s">
        <v>661</v>
      </c>
      <c r="E80" t="s">
        <v>1006</v>
      </c>
      <c r="F80" t="s">
        <v>1006</v>
      </c>
      <c r="H80" s="40">
        <v>2</v>
      </c>
      <c r="I80" s="40">
        <v>0</v>
      </c>
      <c r="K80" s="40">
        <v>0</v>
      </c>
      <c r="L80" s="40">
        <v>2</v>
      </c>
    </row>
    <row r="81" spans="3:12">
      <c r="C81" t="s">
        <v>661</v>
      </c>
      <c r="E81" t="s">
        <v>1007</v>
      </c>
      <c r="F81" t="s">
        <v>1007</v>
      </c>
      <c r="H81" s="40">
        <v>2</v>
      </c>
      <c r="I81" s="40">
        <v>0</v>
      </c>
      <c r="K81" s="40">
        <v>0</v>
      </c>
      <c r="L81" s="40">
        <v>2</v>
      </c>
    </row>
    <row r="82" spans="3:12">
      <c r="C82" t="s">
        <v>661</v>
      </c>
      <c r="E82" t="s">
        <v>237</v>
      </c>
      <c r="F82" t="s">
        <v>237</v>
      </c>
      <c r="H82" s="40">
        <v>3</v>
      </c>
      <c r="I82" s="40">
        <v>2</v>
      </c>
      <c r="K82" s="40">
        <v>0</v>
      </c>
      <c r="L82" s="40">
        <v>5</v>
      </c>
    </row>
    <row r="83" spans="3:12">
      <c r="C83" t="s">
        <v>661</v>
      </c>
      <c r="E83" t="s">
        <v>164</v>
      </c>
      <c r="F83" t="s">
        <v>164</v>
      </c>
      <c r="H83" s="40">
        <v>4</v>
      </c>
      <c r="I83" s="40">
        <v>3</v>
      </c>
      <c r="K83" s="40">
        <v>2</v>
      </c>
      <c r="L83" s="40">
        <v>7</v>
      </c>
    </row>
    <row r="84" spans="3:12">
      <c r="C84" t="s">
        <v>661</v>
      </c>
      <c r="E84" t="s">
        <v>177</v>
      </c>
      <c r="F84" t="s">
        <v>177</v>
      </c>
      <c r="H84" s="40">
        <v>6</v>
      </c>
      <c r="I84" s="40">
        <v>0</v>
      </c>
      <c r="K84" s="40">
        <v>0</v>
      </c>
      <c r="L84" s="40">
        <v>6</v>
      </c>
    </row>
    <row r="85" spans="3:12">
      <c r="C85" t="s">
        <v>661</v>
      </c>
      <c r="E85" t="s">
        <v>1008</v>
      </c>
      <c r="F85" t="s">
        <v>1008</v>
      </c>
      <c r="H85" s="40">
        <v>5</v>
      </c>
      <c r="I85" s="40">
        <v>0</v>
      </c>
      <c r="K85" s="40">
        <v>0</v>
      </c>
      <c r="L85" s="40">
        <v>5</v>
      </c>
    </row>
    <row r="86" spans="3:12">
      <c r="C86" t="s">
        <v>661</v>
      </c>
      <c r="E86" t="s">
        <v>1009</v>
      </c>
      <c r="F86" t="s">
        <v>1009</v>
      </c>
      <c r="H86" s="40">
        <v>60</v>
      </c>
      <c r="I86" s="40">
        <v>15</v>
      </c>
      <c r="K86" s="40">
        <v>6</v>
      </c>
      <c r="L86" s="40">
        <v>75</v>
      </c>
    </row>
    <row r="87" spans="3:12">
      <c r="C87" t="s">
        <v>661</v>
      </c>
      <c r="E87" t="s">
        <v>1010</v>
      </c>
      <c r="F87" t="s">
        <v>1010</v>
      </c>
      <c r="H87" s="40">
        <v>5</v>
      </c>
      <c r="I87" s="40">
        <v>0</v>
      </c>
      <c r="K87" s="40">
        <v>0</v>
      </c>
      <c r="L87" s="40">
        <v>5</v>
      </c>
    </row>
    <row r="88" spans="3:12">
      <c r="C88" t="s">
        <v>661</v>
      </c>
      <c r="E88" t="s">
        <v>1011</v>
      </c>
      <c r="F88" t="s">
        <v>1011</v>
      </c>
      <c r="H88" s="40">
        <v>5</v>
      </c>
      <c r="I88" s="40">
        <v>0</v>
      </c>
      <c r="K88" s="40">
        <v>0</v>
      </c>
      <c r="L88" s="40">
        <v>5</v>
      </c>
    </row>
    <row r="89" spans="3:12">
      <c r="C89" t="s">
        <v>661</v>
      </c>
      <c r="E89" t="s">
        <v>1012</v>
      </c>
      <c r="F89" t="s">
        <v>1012</v>
      </c>
      <c r="H89" s="40">
        <v>7.5</v>
      </c>
      <c r="I89" s="40">
        <v>4</v>
      </c>
      <c r="K89" s="40">
        <v>3</v>
      </c>
      <c r="L89" s="40">
        <v>11.5</v>
      </c>
    </row>
    <row r="90" spans="3:12">
      <c r="C90" t="s">
        <v>661</v>
      </c>
      <c r="E90" t="s">
        <v>1013</v>
      </c>
      <c r="F90" t="s">
        <v>1013</v>
      </c>
      <c r="H90" s="40">
        <v>7.5</v>
      </c>
      <c r="I90" s="40">
        <v>4</v>
      </c>
      <c r="K90" s="40">
        <v>3</v>
      </c>
      <c r="L90" s="40">
        <v>11.5</v>
      </c>
    </row>
    <row r="91" spans="3:12">
      <c r="C91" t="s">
        <v>661</v>
      </c>
      <c r="E91" t="s">
        <v>993</v>
      </c>
      <c r="F91" t="s">
        <v>993</v>
      </c>
      <c r="H91" s="40">
        <v>2</v>
      </c>
      <c r="I91" s="40">
        <v>2</v>
      </c>
      <c r="K91" s="40">
        <v>1</v>
      </c>
      <c r="L91" s="40">
        <v>4</v>
      </c>
    </row>
    <row r="92" spans="3:12">
      <c r="C92" t="s">
        <v>661</v>
      </c>
      <c r="E92" t="s">
        <v>1014</v>
      </c>
      <c r="F92" t="s">
        <v>1014</v>
      </c>
      <c r="H92" s="40">
        <v>8</v>
      </c>
      <c r="I92" s="40">
        <v>8</v>
      </c>
      <c r="K92" s="40">
        <v>4</v>
      </c>
      <c r="L92" s="40">
        <v>16</v>
      </c>
    </row>
    <row r="93" spans="3:12">
      <c r="C93" t="s">
        <v>661</v>
      </c>
      <c r="E93" t="s">
        <v>1015</v>
      </c>
      <c r="F93" t="s">
        <v>1015</v>
      </c>
      <c r="H93" s="40">
        <v>8</v>
      </c>
      <c r="I93" s="40">
        <v>0</v>
      </c>
      <c r="K93" s="40">
        <v>3</v>
      </c>
      <c r="L93" s="40">
        <v>8</v>
      </c>
    </row>
    <row r="94" spans="3:12">
      <c r="C94" t="s">
        <v>661</v>
      </c>
      <c r="E94" t="s">
        <v>1009</v>
      </c>
      <c r="F94" t="s">
        <v>1009</v>
      </c>
      <c r="H94" s="40">
        <v>33</v>
      </c>
      <c r="I94" s="40">
        <v>18</v>
      </c>
      <c r="K94" s="40">
        <v>14</v>
      </c>
      <c r="L94" s="40">
        <v>51</v>
      </c>
    </row>
    <row r="95" spans="3:12">
      <c r="C95" t="s">
        <v>661</v>
      </c>
      <c r="E95" t="s">
        <v>1016</v>
      </c>
      <c r="F95" t="s">
        <v>1016</v>
      </c>
      <c r="H95" s="40">
        <v>2</v>
      </c>
      <c r="I95" s="40">
        <v>2</v>
      </c>
      <c r="K95" s="40">
        <v>1</v>
      </c>
      <c r="L95" s="40">
        <v>4</v>
      </c>
    </row>
    <row r="96" spans="3:12">
      <c r="C96" t="s">
        <v>661</v>
      </c>
      <c r="E96" t="s">
        <v>1017</v>
      </c>
      <c r="F96" t="s">
        <v>1017</v>
      </c>
      <c r="H96" s="40">
        <v>2</v>
      </c>
      <c r="I96" s="40">
        <v>2</v>
      </c>
      <c r="K96" s="40">
        <v>1</v>
      </c>
      <c r="L96" s="40">
        <v>4</v>
      </c>
    </row>
    <row r="97" spans="3:12">
      <c r="C97" t="s">
        <v>661</v>
      </c>
      <c r="E97" t="s">
        <v>1018</v>
      </c>
      <c r="F97" t="s">
        <v>1018</v>
      </c>
      <c r="H97" s="40">
        <v>2</v>
      </c>
      <c r="I97" s="40">
        <v>2</v>
      </c>
      <c r="K97" s="40">
        <v>1</v>
      </c>
      <c r="L97" s="40">
        <v>4</v>
      </c>
    </row>
    <row r="98" spans="3:12">
      <c r="C98" t="s">
        <v>661</v>
      </c>
      <c r="E98" t="s">
        <v>1019</v>
      </c>
      <c r="F98" t="s">
        <v>1019</v>
      </c>
      <c r="H98" s="40">
        <v>0</v>
      </c>
      <c r="I98" s="40">
        <v>2</v>
      </c>
      <c r="K98" s="40">
        <v>0</v>
      </c>
      <c r="L98" s="40">
        <v>2</v>
      </c>
    </row>
    <row r="99" spans="3:12">
      <c r="C99" t="s">
        <v>661</v>
      </c>
      <c r="E99" t="s">
        <v>1020</v>
      </c>
      <c r="F99" t="s">
        <v>1020</v>
      </c>
      <c r="H99" s="40">
        <v>1.5</v>
      </c>
      <c r="I99" s="40">
        <v>0</v>
      </c>
      <c r="K99" s="40">
        <v>0</v>
      </c>
      <c r="L99" s="40">
        <v>1.5</v>
      </c>
    </row>
    <row r="100" spans="3:12">
      <c r="C100" t="s">
        <v>661</v>
      </c>
      <c r="E100" t="s">
        <v>1021</v>
      </c>
      <c r="F100" t="s">
        <v>1021</v>
      </c>
      <c r="H100" s="40">
        <v>1.5</v>
      </c>
      <c r="I100" s="40">
        <v>0</v>
      </c>
      <c r="K100" s="40">
        <v>0</v>
      </c>
      <c r="L100" s="40">
        <v>1.5</v>
      </c>
    </row>
    <row r="101" spans="3:12">
      <c r="C101" t="s">
        <v>661</v>
      </c>
      <c r="E101" t="s">
        <v>1009</v>
      </c>
      <c r="F101" t="s">
        <v>1009</v>
      </c>
      <c r="H101" s="40">
        <v>9</v>
      </c>
      <c r="I101" s="40">
        <v>8</v>
      </c>
      <c r="K101" s="40">
        <v>3</v>
      </c>
      <c r="L101" s="40">
        <v>17</v>
      </c>
    </row>
    <row r="102" spans="3:12">
      <c r="C102" t="s">
        <v>661</v>
      </c>
      <c r="E102" t="s">
        <v>1022</v>
      </c>
      <c r="F102" t="s">
        <v>1022</v>
      </c>
      <c r="H102" s="40">
        <v>2.5</v>
      </c>
      <c r="I102" s="40">
        <v>1</v>
      </c>
      <c r="K102" s="40">
        <v>1</v>
      </c>
      <c r="L102" s="40">
        <v>3.5</v>
      </c>
    </row>
    <row r="103" spans="3:12">
      <c r="C103" t="s">
        <v>661</v>
      </c>
      <c r="E103" t="s">
        <v>1023</v>
      </c>
      <c r="F103" t="s">
        <v>1023</v>
      </c>
      <c r="H103" s="40">
        <v>2.5</v>
      </c>
      <c r="I103" s="40">
        <v>1</v>
      </c>
      <c r="K103" s="40">
        <v>1</v>
      </c>
      <c r="L103" s="40">
        <v>3.5</v>
      </c>
    </row>
    <row r="104" spans="3:12">
      <c r="C104" t="s">
        <v>661</v>
      </c>
      <c r="E104" t="s">
        <v>1024</v>
      </c>
      <c r="F104" t="s">
        <v>1024</v>
      </c>
      <c r="H104" s="40">
        <v>2.5</v>
      </c>
      <c r="I104" s="40">
        <v>1</v>
      </c>
      <c r="K104" s="40">
        <v>1</v>
      </c>
      <c r="L104" s="40">
        <v>3.5</v>
      </c>
    </row>
    <row r="105" spans="3:12">
      <c r="C105" t="s">
        <v>661</v>
      </c>
      <c r="E105" t="s">
        <v>1025</v>
      </c>
      <c r="F105" t="s">
        <v>1025</v>
      </c>
      <c r="H105" s="40">
        <v>2.5</v>
      </c>
      <c r="I105" s="40">
        <v>0</v>
      </c>
      <c r="K105" s="40">
        <v>0</v>
      </c>
      <c r="L105" s="40">
        <v>2.5</v>
      </c>
    </row>
    <row r="106" spans="3:12">
      <c r="C106" t="s">
        <v>661</v>
      </c>
      <c r="E106" t="s">
        <v>1009</v>
      </c>
      <c r="F106" t="s">
        <v>1009</v>
      </c>
      <c r="H106" s="40">
        <v>10</v>
      </c>
      <c r="I106" s="40">
        <v>3</v>
      </c>
      <c r="K106" s="40">
        <v>3</v>
      </c>
      <c r="L106" s="40">
        <v>13</v>
      </c>
    </row>
    <row r="107" spans="3:12">
      <c r="C107" t="s">
        <v>661</v>
      </c>
      <c r="E107" t="s">
        <v>1026</v>
      </c>
      <c r="F107" t="s">
        <v>1026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X120"/>
  <sheetViews>
    <sheetView topLeftCell="A109" workbookViewId="0">
      <selection activeCell="K100" sqref="K100"/>
    </sheetView>
  </sheetViews>
  <sheetFormatPr defaultRowHeight="12.5"/>
  <cols>
    <col min="1" max="1" width="39.81640625" customWidth="1"/>
    <col min="5" max="5" width="43.453125" customWidth="1"/>
    <col min="6" max="6" width="13.54296875" customWidth="1"/>
    <col min="7" max="7" width="20.90625" customWidth="1"/>
    <col min="8" max="8" width="19.54296875" customWidth="1"/>
    <col min="9" max="9" width="14.453125" customWidth="1"/>
    <col min="10" max="10" width="33" customWidth="1"/>
    <col min="11" max="11" width="22.81640625" bestFit="1" customWidth="1"/>
    <col min="12" max="12" width="15" customWidth="1"/>
    <col min="24" max="24" width="60.1796875" customWidth="1"/>
  </cols>
  <sheetData>
    <row r="2" spans="2:24" ht="62" customHeight="1">
      <c r="B2" s="7" t="s">
        <v>1027</v>
      </c>
      <c r="C2" s="1" t="s">
        <v>31</v>
      </c>
      <c r="D2" s="1" t="s">
        <v>30</v>
      </c>
      <c r="E2" s="1" t="s">
        <v>1028</v>
      </c>
      <c r="F2" s="1" t="s">
        <v>1029</v>
      </c>
      <c r="G2" s="1" t="s">
        <v>1030</v>
      </c>
      <c r="H2" s="4" t="s">
        <v>1031</v>
      </c>
      <c r="I2" s="4"/>
      <c r="J2" s="4"/>
      <c r="K2" s="1" t="s">
        <v>1032</v>
      </c>
      <c r="L2" s="4" t="s">
        <v>1033</v>
      </c>
      <c r="M2" s="4"/>
      <c r="N2" s="4"/>
      <c r="O2" s="4" t="s">
        <v>1033</v>
      </c>
      <c r="P2" s="4"/>
      <c r="Q2" s="4"/>
      <c r="R2" s="4" t="s">
        <v>1034</v>
      </c>
      <c r="S2" s="4"/>
      <c r="T2" s="4"/>
      <c r="U2" s="4" t="s">
        <v>1035</v>
      </c>
      <c r="V2" s="4"/>
      <c r="W2" s="4"/>
      <c r="X2" s="4" t="s">
        <v>1036</v>
      </c>
    </row>
    <row r="3" spans="2:24" ht="31" customHeight="1">
      <c r="B3" s="8"/>
      <c r="C3" s="2"/>
      <c r="D3" s="2"/>
      <c r="E3" s="2"/>
      <c r="F3" s="2"/>
      <c r="G3" s="2"/>
      <c r="H3" s="6" t="s">
        <v>1037</v>
      </c>
      <c r="I3" s="6" t="s">
        <v>1038</v>
      </c>
      <c r="J3" s="6" t="s">
        <v>1039</v>
      </c>
      <c r="K3" s="2"/>
      <c r="L3" s="6" t="s">
        <v>1040</v>
      </c>
      <c r="M3" s="6" t="s">
        <v>1041</v>
      </c>
      <c r="N3" s="6" t="s">
        <v>1042</v>
      </c>
      <c r="O3" s="6" t="s">
        <v>1040</v>
      </c>
      <c r="P3" s="6" t="s">
        <v>1041</v>
      </c>
      <c r="Q3" s="6" t="s">
        <v>1042</v>
      </c>
      <c r="R3" s="6" t="s">
        <v>1040</v>
      </c>
      <c r="S3" s="6" t="s">
        <v>1041</v>
      </c>
      <c r="T3" s="6" t="s">
        <v>1042</v>
      </c>
      <c r="U3" s="6" t="s">
        <v>1040</v>
      </c>
      <c r="V3" s="6" t="s">
        <v>1041</v>
      </c>
      <c r="W3" s="6" t="s">
        <v>1042</v>
      </c>
      <c r="X3" s="6"/>
    </row>
    <row r="4" spans="2:24">
      <c r="B4" s="14"/>
      <c r="C4" s="14"/>
      <c r="D4" s="14"/>
      <c r="E4" s="14"/>
      <c r="F4" s="14"/>
      <c r="G4" s="26" t="s">
        <v>1043</v>
      </c>
      <c r="H4" s="14"/>
      <c r="I4" s="14"/>
      <c r="J4" s="14"/>
      <c r="K4" s="14"/>
      <c r="L4" s="14"/>
      <c r="M4" s="14"/>
      <c r="N4" s="14"/>
      <c r="O4" s="14"/>
      <c r="P4" s="14"/>
      <c r="Q4" s="14"/>
      <c r="R4" s="14"/>
      <c r="S4" s="14"/>
      <c r="T4" s="14"/>
      <c r="U4" s="14"/>
      <c r="V4" s="14"/>
      <c r="W4" s="14"/>
      <c r="X4" s="14"/>
    </row>
    <row r="5" spans="2:24">
      <c r="B5">
        <v>1</v>
      </c>
      <c r="C5" t="s">
        <v>69</v>
      </c>
      <c r="D5" t="s">
        <v>68</v>
      </c>
      <c r="E5" t="s">
        <v>1044</v>
      </c>
      <c r="G5" t="s">
        <v>1045</v>
      </c>
      <c r="H5">
        <v>8430</v>
      </c>
      <c r="I5">
        <v>0</v>
      </c>
      <c r="J5">
        <v>8430</v>
      </c>
      <c r="K5" t="s">
        <v>1045</v>
      </c>
      <c r="L5">
        <v>7475</v>
      </c>
      <c r="M5">
        <v>2050</v>
      </c>
      <c r="N5">
        <v>9525</v>
      </c>
      <c r="O5">
        <v>0</v>
      </c>
      <c r="P5">
        <v>0</v>
      </c>
      <c r="Q5">
        <v>0</v>
      </c>
      <c r="R5">
        <v>0</v>
      </c>
      <c r="S5">
        <v>0</v>
      </c>
      <c r="T5">
        <v>0</v>
      </c>
      <c r="U5">
        <v>0</v>
      </c>
      <c r="V5">
        <v>0</v>
      </c>
      <c r="W5">
        <v>0</v>
      </c>
      <c r="X5" t="s">
        <v>1046</v>
      </c>
    </row>
    <row r="6" spans="2:24">
      <c r="B6" t="s">
        <v>1047</v>
      </c>
      <c r="C6" t="s">
        <v>69</v>
      </c>
      <c r="D6" t="s">
        <v>68</v>
      </c>
      <c r="E6" t="s">
        <v>1048</v>
      </c>
      <c r="G6" t="s">
        <v>1045</v>
      </c>
      <c r="H6">
        <v>3380</v>
      </c>
      <c r="I6">
        <v>0</v>
      </c>
      <c r="J6">
        <v>3380</v>
      </c>
      <c r="K6" t="s">
        <v>1045</v>
      </c>
      <c r="L6">
        <v>3580</v>
      </c>
      <c r="M6">
        <v>0</v>
      </c>
      <c r="N6">
        <v>3580</v>
      </c>
      <c r="O6">
        <v>0</v>
      </c>
      <c r="P6">
        <v>0</v>
      </c>
      <c r="Q6">
        <v>0</v>
      </c>
      <c r="R6">
        <v>0</v>
      </c>
      <c r="S6">
        <v>0</v>
      </c>
      <c r="T6">
        <v>0</v>
      </c>
      <c r="U6">
        <v>0</v>
      </c>
      <c r="V6">
        <v>0</v>
      </c>
      <c r="W6">
        <v>0</v>
      </c>
      <c r="X6" t="s">
        <v>1049</v>
      </c>
    </row>
    <row r="7" spans="2:24">
      <c r="B7" t="s">
        <v>1050</v>
      </c>
      <c r="C7" t="s">
        <v>69</v>
      </c>
      <c r="D7" t="s">
        <v>68</v>
      </c>
      <c r="E7" t="s">
        <v>191</v>
      </c>
      <c r="G7" t="s">
        <v>1045</v>
      </c>
      <c r="H7">
        <v>5050</v>
      </c>
      <c r="I7">
        <v>0</v>
      </c>
      <c r="J7">
        <v>5050</v>
      </c>
      <c r="K7" t="s">
        <v>1045</v>
      </c>
      <c r="L7">
        <v>3895</v>
      </c>
      <c r="M7">
        <v>2050</v>
      </c>
      <c r="N7">
        <v>5945</v>
      </c>
      <c r="O7">
        <v>0</v>
      </c>
      <c r="P7">
        <v>0</v>
      </c>
      <c r="Q7">
        <v>0</v>
      </c>
      <c r="R7">
        <v>0</v>
      </c>
      <c r="S7">
        <v>0</v>
      </c>
      <c r="T7">
        <v>0</v>
      </c>
      <c r="U7">
        <v>0</v>
      </c>
      <c r="V7">
        <v>0</v>
      </c>
      <c r="W7">
        <v>0</v>
      </c>
      <c r="X7" t="s">
        <v>1051</v>
      </c>
    </row>
    <row r="8" spans="2:24">
      <c r="B8">
        <v>2</v>
      </c>
      <c r="C8" t="s">
        <v>69</v>
      </c>
      <c r="D8" t="s">
        <v>68</v>
      </c>
      <c r="E8" t="s">
        <v>1052</v>
      </c>
      <c r="G8" t="s">
        <v>1045</v>
      </c>
      <c r="H8">
        <v>9600</v>
      </c>
      <c r="I8">
        <v>0</v>
      </c>
      <c r="J8">
        <v>9600</v>
      </c>
      <c r="K8" t="s">
        <v>1045</v>
      </c>
      <c r="L8">
        <v>6940</v>
      </c>
      <c r="M8">
        <v>3200</v>
      </c>
      <c r="N8">
        <v>10140</v>
      </c>
      <c r="O8">
        <v>0</v>
      </c>
      <c r="P8">
        <v>0</v>
      </c>
      <c r="Q8">
        <v>0</v>
      </c>
      <c r="R8">
        <v>0</v>
      </c>
      <c r="S8">
        <v>0</v>
      </c>
      <c r="T8">
        <v>0</v>
      </c>
      <c r="U8">
        <v>0</v>
      </c>
      <c r="V8">
        <v>0</v>
      </c>
      <c r="W8">
        <v>0</v>
      </c>
      <c r="X8" t="s">
        <v>1053</v>
      </c>
    </row>
    <row r="9" spans="2:24">
      <c r="B9" t="s">
        <v>1054</v>
      </c>
      <c r="C9" t="s">
        <v>69</v>
      </c>
      <c r="D9" t="s">
        <v>68</v>
      </c>
      <c r="E9" t="s">
        <v>1055</v>
      </c>
      <c r="G9" t="s">
        <v>1045</v>
      </c>
      <c r="H9">
        <v>2200</v>
      </c>
      <c r="I9">
        <v>0</v>
      </c>
      <c r="J9">
        <v>2200</v>
      </c>
      <c r="K9" t="s">
        <v>1045</v>
      </c>
      <c r="L9">
        <v>0</v>
      </c>
      <c r="M9">
        <v>2200</v>
      </c>
      <c r="N9">
        <v>2200</v>
      </c>
      <c r="O9">
        <v>0</v>
      </c>
      <c r="P9">
        <v>0</v>
      </c>
      <c r="Q9">
        <v>0</v>
      </c>
      <c r="R9">
        <v>0</v>
      </c>
      <c r="S9">
        <v>0</v>
      </c>
      <c r="T9">
        <v>0</v>
      </c>
      <c r="U9">
        <v>0</v>
      </c>
      <c r="V9">
        <v>0</v>
      </c>
      <c r="W9">
        <v>0</v>
      </c>
      <c r="X9" t="s">
        <v>1056</v>
      </c>
    </row>
    <row r="10" spans="2:24">
      <c r="B10" t="s">
        <v>1057</v>
      </c>
      <c r="C10" t="s">
        <v>69</v>
      </c>
      <c r="D10" t="s">
        <v>68</v>
      </c>
      <c r="E10" t="s">
        <v>306</v>
      </c>
      <c r="G10" t="s">
        <v>1045</v>
      </c>
      <c r="H10">
        <v>5500</v>
      </c>
      <c r="I10">
        <v>0</v>
      </c>
      <c r="J10">
        <v>5500</v>
      </c>
      <c r="K10" t="s">
        <v>1045</v>
      </c>
      <c r="L10">
        <v>4460</v>
      </c>
      <c r="M10">
        <v>1000</v>
      </c>
      <c r="N10">
        <v>5460</v>
      </c>
      <c r="O10">
        <v>0</v>
      </c>
      <c r="P10">
        <v>0</v>
      </c>
      <c r="Q10">
        <v>0</v>
      </c>
      <c r="R10">
        <v>0</v>
      </c>
      <c r="S10">
        <v>0</v>
      </c>
      <c r="T10">
        <v>0</v>
      </c>
      <c r="U10">
        <v>0</v>
      </c>
      <c r="V10">
        <v>0</v>
      </c>
      <c r="W10">
        <v>0</v>
      </c>
      <c r="X10" t="s">
        <v>1058</v>
      </c>
    </row>
    <row r="11" spans="2:24">
      <c r="B11" t="s">
        <v>1059</v>
      </c>
      <c r="C11" t="s">
        <v>69</v>
      </c>
      <c r="D11" t="s">
        <v>68</v>
      </c>
      <c r="E11" t="s">
        <v>315</v>
      </c>
      <c r="F11" t="s">
        <v>1060</v>
      </c>
      <c r="G11" t="s">
        <v>1045</v>
      </c>
      <c r="H11">
        <v>1900</v>
      </c>
      <c r="I11">
        <v>0</v>
      </c>
      <c r="J11">
        <v>1900</v>
      </c>
      <c r="K11" t="s">
        <v>1045</v>
      </c>
      <c r="L11">
        <v>2480</v>
      </c>
      <c r="M11">
        <v>0</v>
      </c>
      <c r="N11">
        <v>2480</v>
      </c>
      <c r="O11">
        <v>0</v>
      </c>
      <c r="P11">
        <v>0</v>
      </c>
      <c r="Q11">
        <v>0</v>
      </c>
      <c r="R11">
        <v>0</v>
      </c>
      <c r="S11">
        <v>0</v>
      </c>
      <c r="T11">
        <v>0</v>
      </c>
      <c r="U11">
        <v>0</v>
      </c>
      <c r="V11">
        <v>0</v>
      </c>
      <c r="W11">
        <v>0</v>
      </c>
      <c r="X11" t="s">
        <v>1061</v>
      </c>
    </row>
    <row r="12" spans="2:24">
      <c r="B12">
        <v>3</v>
      </c>
      <c r="C12" t="s">
        <v>69</v>
      </c>
      <c r="D12" t="s">
        <v>68</v>
      </c>
      <c r="E12" t="s">
        <v>1062</v>
      </c>
      <c r="G12" t="s">
        <v>1045</v>
      </c>
      <c r="H12">
        <v>8850</v>
      </c>
      <c r="I12">
        <v>3000</v>
      </c>
      <c r="J12">
        <v>5850</v>
      </c>
      <c r="K12" t="s">
        <v>1045</v>
      </c>
      <c r="L12">
        <v>5695</v>
      </c>
      <c r="M12">
        <v>3940</v>
      </c>
      <c r="N12">
        <v>9635</v>
      </c>
      <c r="O12">
        <v>0</v>
      </c>
      <c r="P12">
        <v>0</v>
      </c>
      <c r="Q12">
        <v>0</v>
      </c>
      <c r="R12">
        <v>0</v>
      </c>
      <c r="S12">
        <v>50</v>
      </c>
      <c r="T12">
        <v>50</v>
      </c>
      <c r="U12">
        <v>0</v>
      </c>
      <c r="V12">
        <v>0</v>
      </c>
      <c r="W12">
        <v>0</v>
      </c>
      <c r="X12" t="s">
        <v>1063</v>
      </c>
    </row>
    <row r="13" spans="2:24">
      <c r="B13" t="s">
        <v>1064</v>
      </c>
      <c r="C13" t="s">
        <v>69</v>
      </c>
      <c r="D13" t="s">
        <v>68</v>
      </c>
      <c r="E13" t="s">
        <v>241</v>
      </c>
      <c r="G13" t="s">
        <v>1045</v>
      </c>
      <c r="H13">
        <v>1850</v>
      </c>
      <c r="I13">
        <v>0</v>
      </c>
      <c r="J13">
        <v>1850</v>
      </c>
      <c r="K13" t="s">
        <v>1045</v>
      </c>
      <c r="L13">
        <v>1235</v>
      </c>
      <c r="M13">
        <v>2940</v>
      </c>
      <c r="N13">
        <v>4175</v>
      </c>
      <c r="O13">
        <v>0</v>
      </c>
      <c r="P13">
        <v>0</v>
      </c>
      <c r="Q13">
        <v>0</v>
      </c>
      <c r="R13">
        <v>0</v>
      </c>
      <c r="S13">
        <v>50</v>
      </c>
      <c r="T13">
        <v>50</v>
      </c>
      <c r="U13">
        <v>0</v>
      </c>
      <c r="V13">
        <v>0</v>
      </c>
      <c r="W13">
        <v>0</v>
      </c>
      <c r="X13" t="s">
        <v>1065</v>
      </c>
    </row>
    <row r="14" spans="2:24">
      <c r="B14" t="s">
        <v>1066</v>
      </c>
      <c r="C14" t="s">
        <v>69</v>
      </c>
      <c r="D14" t="s">
        <v>68</v>
      </c>
      <c r="E14" t="s">
        <v>675</v>
      </c>
      <c r="G14" t="s">
        <v>1045</v>
      </c>
      <c r="H14">
        <v>7000</v>
      </c>
      <c r="I14">
        <v>3000</v>
      </c>
      <c r="J14">
        <v>4000</v>
      </c>
      <c r="K14" t="s">
        <v>1045</v>
      </c>
      <c r="L14">
        <v>4460</v>
      </c>
      <c r="M14">
        <v>1000</v>
      </c>
      <c r="N14">
        <v>5460</v>
      </c>
      <c r="O14">
        <v>0</v>
      </c>
      <c r="P14">
        <v>0</v>
      </c>
      <c r="Q14">
        <v>0</v>
      </c>
      <c r="R14">
        <v>0</v>
      </c>
      <c r="S14">
        <v>0</v>
      </c>
      <c r="T14">
        <v>0</v>
      </c>
      <c r="U14">
        <v>0</v>
      </c>
      <c r="V14">
        <v>0</v>
      </c>
      <c r="W14">
        <v>0</v>
      </c>
      <c r="X14" t="s">
        <v>1067</v>
      </c>
    </row>
    <row r="15" spans="2:24">
      <c r="B15">
        <v>4</v>
      </c>
      <c r="C15" t="s">
        <v>69</v>
      </c>
      <c r="D15" t="s">
        <v>68</v>
      </c>
      <c r="E15" t="s">
        <v>215</v>
      </c>
      <c r="G15" t="s">
        <v>1068</v>
      </c>
      <c r="H15">
        <v>3500</v>
      </c>
      <c r="I15">
        <v>0</v>
      </c>
      <c r="J15">
        <v>3500</v>
      </c>
      <c r="K15" t="s">
        <v>1069</v>
      </c>
      <c r="L15">
        <v>2750</v>
      </c>
      <c r="M15">
        <v>1000</v>
      </c>
      <c r="N15">
        <v>3750</v>
      </c>
      <c r="O15">
        <v>0</v>
      </c>
      <c r="P15">
        <v>0</v>
      </c>
      <c r="Q15">
        <v>0</v>
      </c>
      <c r="R15">
        <v>0</v>
      </c>
      <c r="S15">
        <v>0</v>
      </c>
      <c r="T15">
        <v>0</v>
      </c>
      <c r="U15">
        <v>0</v>
      </c>
      <c r="V15">
        <v>0</v>
      </c>
      <c r="W15">
        <v>0</v>
      </c>
      <c r="X15" t="s">
        <v>1070</v>
      </c>
    </row>
    <row r="16" spans="2:24">
      <c r="B16">
        <v>5</v>
      </c>
      <c r="C16" t="s">
        <v>69</v>
      </c>
      <c r="D16" t="s">
        <v>68</v>
      </c>
      <c r="E16" t="s">
        <v>1052</v>
      </c>
      <c r="G16" t="s">
        <v>1068</v>
      </c>
      <c r="H16">
        <v>7333</v>
      </c>
      <c r="I16">
        <v>0</v>
      </c>
      <c r="J16">
        <v>7333</v>
      </c>
      <c r="L16">
        <v>4185</v>
      </c>
      <c r="M16">
        <v>3450</v>
      </c>
      <c r="N16">
        <v>7635</v>
      </c>
      <c r="O16">
        <v>0</v>
      </c>
      <c r="P16">
        <v>0</v>
      </c>
      <c r="Q16">
        <v>0</v>
      </c>
      <c r="R16">
        <v>0</v>
      </c>
      <c r="S16">
        <v>0</v>
      </c>
      <c r="T16">
        <v>0</v>
      </c>
      <c r="U16">
        <v>0</v>
      </c>
      <c r="V16">
        <v>0</v>
      </c>
      <c r="W16">
        <v>0</v>
      </c>
      <c r="X16" t="s">
        <v>1071</v>
      </c>
    </row>
    <row r="17" spans="2:24">
      <c r="B17" t="s">
        <v>1072</v>
      </c>
      <c r="C17" t="s">
        <v>69</v>
      </c>
      <c r="D17" t="s">
        <v>68</v>
      </c>
      <c r="E17" t="s">
        <v>315</v>
      </c>
      <c r="F17" t="s">
        <v>1073</v>
      </c>
      <c r="G17" t="s">
        <v>1068</v>
      </c>
      <c r="H17">
        <v>5233</v>
      </c>
      <c r="I17">
        <v>0</v>
      </c>
      <c r="J17">
        <v>5233</v>
      </c>
      <c r="K17" t="s">
        <v>1074</v>
      </c>
      <c r="L17">
        <v>2160</v>
      </c>
      <c r="M17">
        <v>3450</v>
      </c>
      <c r="N17">
        <v>5610</v>
      </c>
      <c r="O17">
        <v>0</v>
      </c>
      <c r="P17">
        <v>0</v>
      </c>
      <c r="Q17">
        <v>0</v>
      </c>
      <c r="R17">
        <v>0</v>
      </c>
      <c r="S17">
        <v>0</v>
      </c>
      <c r="T17">
        <v>0</v>
      </c>
      <c r="U17">
        <v>0</v>
      </c>
      <c r="V17">
        <v>0</v>
      </c>
      <c r="W17">
        <v>0</v>
      </c>
      <c r="X17" t="s">
        <v>1075</v>
      </c>
    </row>
    <row r="18" spans="2:24">
      <c r="B18" t="s">
        <v>1076</v>
      </c>
      <c r="C18" t="s">
        <v>69</v>
      </c>
      <c r="D18" t="s">
        <v>68</v>
      </c>
      <c r="E18" t="s">
        <v>1005</v>
      </c>
      <c r="F18" t="s">
        <v>1060</v>
      </c>
      <c r="G18" t="s">
        <v>1068</v>
      </c>
      <c r="H18">
        <v>2100</v>
      </c>
      <c r="I18">
        <v>0</v>
      </c>
      <c r="J18">
        <v>2100</v>
      </c>
      <c r="K18" t="s">
        <v>1077</v>
      </c>
      <c r="L18">
        <v>2025</v>
      </c>
      <c r="M18">
        <v>0</v>
      </c>
      <c r="N18">
        <v>2025</v>
      </c>
      <c r="O18">
        <v>0</v>
      </c>
      <c r="P18">
        <v>0</v>
      </c>
      <c r="Q18">
        <v>0</v>
      </c>
      <c r="R18">
        <v>0</v>
      </c>
      <c r="S18">
        <v>0</v>
      </c>
      <c r="T18">
        <v>0</v>
      </c>
      <c r="U18">
        <v>0</v>
      </c>
      <c r="V18">
        <v>0</v>
      </c>
      <c r="W18">
        <v>0</v>
      </c>
      <c r="X18" t="s">
        <v>1078</v>
      </c>
    </row>
    <row r="19" spans="2:24">
      <c r="B19">
        <v>6</v>
      </c>
      <c r="C19" t="s">
        <v>69</v>
      </c>
      <c r="D19" t="s">
        <v>68</v>
      </c>
      <c r="E19" t="s">
        <v>385</v>
      </c>
      <c r="G19" t="s">
        <v>1068</v>
      </c>
      <c r="H19">
        <v>4000</v>
      </c>
      <c r="I19">
        <v>0</v>
      </c>
      <c r="J19">
        <v>4000</v>
      </c>
      <c r="K19" t="s">
        <v>1069</v>
      </c>
      <c r="L19">
        <v>1200</v>
      </c>
      <c r="M19">
        <v>2784</v>
      </c>
      <c r="N19">
        <v>3984</v>
      </c>
      <c r="O19">
        <v>0</v>
      </c>
      <c r="P19">
        <v>0</v>
      </c>
      <c r="Q19">
        <v>0</v>
      </c>
      <c r="R19">
        <v>0</v>
      </c>
      <c r="S19">
        <v>0</v>
      </c>
      <c r="T19">
        <v>0</v>
      </c>
      <c r="U19">
        <v>0</v>
      </c>
      <c r="V19">
        <v>0</v>
      </c>
      <c r="W19">
        <v>0</v>
      </c>
      <c r="X19" t="s">
        <v>1079</v>
      </c>
    </row>
    <row r="20" spans="2:24">
      <c r="B20">
        <v>7</v>
      </c>
      <c r="C20" t="s">
        <v>69</v>
      </c>
      <c r="D20" t="s">
        <v>68</v>
      </c>
      <c r="E20" t="s">
        <v>277</v>
      </c>
      <c r="G20" t="s">
        <v>1068</v>
      </c>
      <c r="H20">
        <v>7000</v>
      </c>
      <c r="I20">
        <v>3000</v>
      </c>
      <c r="J20">
        <v>4000</v>
      </c>
      <c r="K20" t="s">
        <v>1080</v>
      </c>
      <c r="L20">
        <v>2267</v>
      </c>
      <c r="M20">
        <v>2400</v>
      </c>
      <c r="N20">
        <v>4667</v>
      </c>
      <c r="O20">
        <v>0</v>
      </c>
      <c r="P20">
        <v>0</v>
      </c>
      <c r="Q20">
        <v>0</v>
      </c>
      <c r="R20">
        <v>0</v>
      </c>
      <c r="S20">
        <v>0</v>
      </c>
      <c r="T20">
        <v>0</v>
      </c>
      <c r="U20">
        <v>0</v>
      </c>
      <c r="V20">
        <v>0</v>
      </c>
      <c r="W20">
        <v>0</v>
      </c>
      <c r="X20" t="s">
        <v>1081</v>
      </c>
    </row>
    <row r="21" spans="2:24">
      <c r="B21">
        <v>8</v>
      </c>
      <c r="C21" t="s">
        <v>69</v>
      </c>
      <c r="D21" t="s">
        <v>68</v>
      </c>
      <c r="E21" t="s">
        <v>1005</v>
      </c>
      <c r="F21" t="s">
        <v>1073</v>
      </c>
      <c r="G21" t="s">
        <v>1082</v>
      </c>
      <c r="H21">
        <v>9000</v>
      </c>
      <c r="I21">
        <v>4000</v>
      </c>
      <c r="J21">
        <v>5000</v>
      </c>
      <c r="K21" t="s">
        <v>1083</v>
      </c>
      <c r="L21">
        <v>3480</v>
      </c>
      <c r="M21">
        <v>1500</v>
      </c>
      <c r="N21">
        <v>4980</v>
      </c>
      <c r="O21">
        <v>0</v>
      </c>
      <c r="P21">
        <v>0</v>
      </c>
      <c r="Q21">
        <v>0</v>
      </c>
      <c r="R21">
        <v>0</v>
      </c>
      <c r="S21">
        <v>0</v>
      </c>
      <c r="T21">
        <v>0</v>
      </c>
      <c r="U21">
        <v>0</v>
      </c>
      <c r="V21">
        <v>0</v>
      </c>
      <c r="W21">
        <v>0</v>
      </c>
      <c r="X21" t="s">
        <v>1084</v>
      </c>
    </row>
    <row r="22" spans="2:24">
      <c r="B22">
        <v>9</v>
      </c>
      <c r="C22" t="s">
        <v>69</v>
      </c>
      <c r="D22" t="s">
        <v>68</v>
      </c>
      <c r="E22" t="s">
        <v>164</v>
      </c>
      <c r="G22" t="s">
        <v>1082</v>
      </c>
      <c r="H22">
        <v>5500</v>
      </c>
      <c r="I22">
        <v>1500</v>
      </c>
      <c r="J22">
        <v>4000</v>
      </c>
      <c r="K22" t="s">
        <v>1085</v>
      </c>
      <c r="L22">
        <v>4000</v>
      </c>
      <c r="M22">
        <v>0</v>
      </c>
      <c r="N22">
        <v>4000</v>
      </c>
      <c r="O22">
        <v>0</v>
      </c>
      <c r="P22">
        <v>0</v>
      </c>
      <c r="Q22">
        <v>0</v>
      </c>
      <c r="R22">
        <v>0</v>
      </c>
      <c r="S22">
        <v>0</v>
      </c>
      <c r="T22">
        <v>0</v>
      </c>
      <c r="U22">
        <v>0</v>
      </c>
      <c r="V22">
        <v>0</v>
      </c>
      <c r="W22">
        <v>0</v>
      </c>
      <c r="X22" t="s">
        <v>1086</v>
      </c>
    </row>
    <row r="23" spans="2:24">
      <c r="B23">
        <v>10</v>
      </c>
      <c r="C23" t="s">
        <v>69</v>
      </c>
      <c r="D23" t="s">
        <v>68</v>
      </c>
      <c r="E23" t="s">
        <v>177</v>
      </c>
      <c r="G23" t="s">
        <v>1082</v>
      </c>
      <c r="H23">
        <v>6000</v>
      </c>
      <c r="I23">
        <v>0</v>
      </c>
      <c r="J23">
        <v>6000</v>
      </c>
      <c r="K23" t="s">
        <v>1087</v>
      </c>
      <c r="L23">
        <v>2080</v>
      </c>
      <c r="M23">
        <v>3812</v>
      </c>
      <c r="N23">
        <v>5892</v>
      </c>
      <c r="O23">
        <v>0</v>
      </c>
      <c r="P23">
        <v>0</v>
      </c>
      <c r="Q23">
        <v>0</v>
      </c>
      <c r="R23">
        <v>0</v>
      </c>
      <c r="S23">
        <v>0</v>
      </c>
      <c r="T23">
        <v>0</v>
      </c>
      <c r="U23">
        <v>108</v>
      </c>
      <c r="V23">
        <v>0</v>
      </c>
      <c r="W23">
        <v>108</v>
      </c>
      <c r="X23" t="s">
        <v>1088</v>
      </c>
    </row>
    <row r="24" spans="2:24">
      <c r="B24">
        <v>11</v>
      </c>
      <c r="C24" t="s">
        <v>69</v>
      </c>
      <c r="D24" t="s">
        <v>68</v>
      </c>
      <c r="E24" t="s">
        <v>189</v>
      </c>
      <c r="G24" t="s">
        <v>1082</v>
      </c>
      <c r="H24">
        <v>6000</v>
      </c>
      <c r="I24">
        <v>0</v>
      </c>
      <c r="J24">
        <v>6000</v>
      </c>
      <c r="K24" t="s">
        <v>1089</v>
      </c>
      <c r="L24">
        <v>2462</v>
      </c>
      <c r="M24">
        <v>3450</v>
      </c>
      <c r="N24">
        <v>5912</v>
      </c>
      <c r="O24">
        <v>0</v>
      </c>
      <c r="P24">
        <v>0</v>
      </c>
      <c r="Q24">
        <v>0</v>
      </c>
      <c r="R24">
        <v>0</v>
      </c>
      <c r="S24">
        <v>0</v>
      </c>
      <c r="T24">
        <v>0</v>
      </c>
      <c r="U24">
        <v>0</v>
      </c>
      <c r="V24">
        <v>88</v>
      </c>
      <c r="W24">
        <v>88</v>
      </c>
      <c r="X24" t="s">
        <v>1090</v>
      </c>
    </row>
    <row r="25" spans="2:24">
      <c r="B25">
        <v>12</v>
      </c>
      <c r="C25" t="s">
        <v>69</v>
      </c>
      <c r="D25" t="s">
        <v>68</v>
      </c>
      <c r="E25" t="s">
        <v>1091</v>
      </c>
      <c r="G25" t="s">
        <v>1082</v>
      </c>
      <c r="H25">
        <v>6000</v>
      </c>
      <c r="I25">
        <v>0</v>
      </c>
      <c r="J25">
        <v>6000</v>
      </c>
      <c r="K25" t="s">
        <v>1092</v>
      </c>
      <c r="L25">
        <v>600</v>
      </c>
      <c r="M25">
        <v>2103</v>
      </c>
      <c r="N25">
        <v>2703</v>
      </c>
      <c r="O25">
        <v>575</v>
      </c>
      <c r="P25">
        <v>950</v>
      </c>
      <c r="Q25">
        <v>1525</v>
      </c>
      <c r="R25">
        <v>0</v>
      </c>
      <c r="S25">
        <v>0</v>
      </c>
      <c r="T25">
        <v>0</v>
      </c>
      <c r="U25">
        <v>1772</v>
      </c>
      <c r="V25">
        <v>0</v>
      </c>
      <c r="W25">
        <v>1772</v>
      </c>
      <c r="X25" t="s">
        <v>1093</v>
      </c>
    </row>
    <row r="26" spans="2:24">
      <c r="B26">
        <v>13</v>
      </c>
      <c r="C26" t="s">
        <v>69</v>
      </c>
      <c r="D26" t="s">
        <v>68</v>
      </c>
      <c r="E26" t="s">
        <v>288</v>
      </c>
      <c r="G26" t="s">
        <v>1082</v>
      </c>
      <c r="H26">
        <v>6000</v>
      </c>
      <c r="I26">
        <v>0</v>
      </c>
      <c r="J26">
        <v>6000</v>
      </c>
      <c r="K26" t="s">
        <v>1085</v>
      </c>
      <c r="L26">
        <v>3150</v>
      </c>
      <c r="M26">
        <v>2850</v>
      </c>
      <c r="N26">
        <v>6000</v>
      </c>
      <c r="O26">
        <v>0</v>
      </c>
      <c r="P26">
        <v>0</v>
      </c>
      <c r="Q26">
        <v>0</v>
      </c>
      <c r="R26">
        <v>0</v>
      </c>
      <c r="S26">
        <v>0</v>
      </c>
      <c r="T26">
        <v>0</v>
      </c>
      <c r="U26">
        <v>0</v>
      </c>
      <c r="V26">
        <v>0</v>
      </c>
      <c r="W26">
        <v>0</v>
      </c>
      <c r="X26" t="s">
        <v>1094</v>
      </c>
    </row>
    <row r="27" spans="2:24">
      <c r="B27">
        <v>14</v>
      </c>
      <c r="C27" t="s">
        <v>69</v>
      </c>
      <c r="D27" t="s">
        <v>68</v>
      </c>
      <c r="E27" t="s">
        <v>299</v>
      </c>
      <c r="G27" t="s">
        <v>1082</v>
      </c>
      <c r="H27">
        <v>6000</v>
      </c>
      <c r="I27">
        <v>0</v>
      </c>
      <c r="J27">
        <v>6000</v>
      </c>
      <c r="K27" t="s">
        <v>1095</v>
      </c>
      <c r="L27">
        <v>3490</v>
      </c>
      <c r="M27">
        <v>2510</v>
      </c>
      <c r="N27">
        <v>6000</v>
      </c>
      <c r="O27">
        <v>0</v>
      </c>
      <c r="P27">
        <v>0</v>
      </c>
      <c r="Q27">
        <v>0</v>
      </c>
      <c r="R27">
        <v>0</v>
      </c>
      <c r="S27">
        <v>0</v>
      </c>
      <c r="T27">
        <v>0</v>
      </c>
      <c r="U27">
        <v>0</v>
      </c>
      <c r="V27">
        <v>0</v>
      </c>
      <c r="W27">
        <v>0</v>
      </c>
      <c r="X27" t="s">
        <v>1096</v>
      </c>
    </row>
    <row r="28" spans="2:24">
      <c r="B28">
        <v>15</v>
      </c>
      <c r="C28" t="s">
        <v>69</v>
      </c>
      <c r="D28" t="s">
        <v>68</v>
      </c>
      <c r="E28" t="s">
        <v>1097</v>
      </c>
      <c r="G28" t="s">
        <v>1082</v>
      </c>
      <c r="H28">
        <v>3548</v>
      </c>
      <c r="I28">
        <v>0</v>
      </c>
      <c r="J28">
        <v>3548</v>
      </c>
      <c r="K28" t="s">
        <v>1092</v>
      </c>
      <c r="L28">
        <v>600</v>
      </c>
      <c r="M28">
        <v>0</v>
      </c>
      <c r="N28">
        <v>600</v>
      </c>
      <c r="O28">
        <v>1750</v>
      </c>
      <c r="P28">
        <v>600</v>
      </c>
      <c r="Q28">
        <v>2350</v>
      </c>
      <c r="R28">
        <v>0</v>
      </c>
      <c r="S28">
        <v>0</v>
      </c>
      <c r="T28">
        <v>0</v>
      </c>
      <c r="U28">
        <v>1850</v>
      </c>
      <c r="V28">
        <v>1200</v>
      </c>
      <c r="W28">
        <v>3050</v>
      </c>
      <c r="X28" t="s">
        <v>1098</v>
      </c>
    </row>
    <row r="29" spans="2:24">
      <c r="B29">
        <v>16</v>
      </c>
      <c r="C29" t="s">
        <v>69</v>
      </c>
      <c r="D29" t="s">
        <v>68</v>
      </c>
      <c r="E29" t="s">
        <v>399</v>
      </c>
      <c r="G29" t="s">
        <v>1082</v>
      </c>
      <c r="H29">
        <v>3000</v>
      </c>
      <c r="I29">
        <v>1000</v>
      </c>
      <c r="J29">
        <v>2000</v>
      </c>
      <c r="K29" t="s">
        <v>1083</v>
      </c>
      <c r="L29">
        <v>1400</v>
      </c>
      <c r="M29">
        <v>700</v>
      </c>
      <c r="N29">
        <v>2100</v>
      </c>
      <c r="O29">
        <v>0</v>
      </c>
      <c r="P29">
        <v>0</v>
      </c>
      <c r="Q29">
        <v>0</v>
      </c>
      <c r="R29">
        <v>0</v>
      </c>
      <c r="S29">
        <v>0</v>
      </c>
      <c r="T29">
        <v>0</v>
      </c>
      <c r="U29">
        <v>0</v>
      </c>
      <c r="V29">
        <v>0</v>
      </c>
      <c r="W29">
        <v>0</v>
      </c>
      <c r="X29" t="s">
        <v>1099</v>
      </c>
    </row>
    <row r="30" spans="2:24">
      <c r="B30">
        <v>17</v>
      </c>
      <c r="C30" t="s">
        <v>69</v>
      </c>
      <c r="D30" t="s">
        <v>68</v>
      </c>
      <c r="E30" t="s">
        <v>215</v>
      </c>
      <c r="F30" t="s">
        <v>1100</v>
      </c>
      <c r="G30" t="s">
        <v>1082</v>
      </c>
      <c r="H30">
        <v>3000</v>
      </c>
      <c r="I30">
        <v>0</v>
      </c>
      <c r="J30">
        <v>3000</v>
      </c>
      <c r="K30" t="s">
        <v>1101</v>
      </c>
      <c r="L30">
        <v>1550</v>
      </c>
      <c r="M30">
        <v>1450</v>
      </c>
      <c r="N30">
        <v>3000</v>
      </c>
      <c r="O30">
        <v>0</v>
      </c>
      <c r="P30">
        <v>0</v>
      </c>
      <c r="Q30">
        <v>0</v>
      </c>
      <c r="R30">
        <v>0</v>
      </c>
      <c r="S30">
        <v>0</v>
      </c>
      <c r="T30">
        <v>0</v>
      </c>
      <c r="U30">
        <v>0</v>
      </c>
      <c r="V30">
        <v>0</v>
      </c>
      <c r="W30">
        <v>0</v>
      </c>
      <c r="X30" t="s">
        <v>1102</v>
      </c>
    </row>
    <row r="31" spans="2:24">
      <c r="B31">
        <v>18</v>
      </c>
      <c r="C31" t="s">
        <v>69</v>
      </c>
      <c r="D31" t="s">
        <v>68</v>
      </c>
      <c r="E31" t="s">
        <v>237</v>
      </c>
      <c r="G31" t="s">
        <v>1082</v>
      </c>
      <c r="H31">
        <v>5000</v>
      </c>
      <c r="I31">
        <v>2000</v>
      </c>
      <c r="J31">
        <v>2000</v>
      </c>
      <c r="K31" t="s">
        <v>1095</v>
      </c>
      <c r="L31">
        <v>300</v>
      </c>
      <c r="M31">
        <v>5525</v>
      </c>
      <c r="N31">
        <v>5825</v>
      </c>
      <c r="O31">
        <v>0</v>
      </c>
      <c r="P31">
        <v>0</v>
      </c>
      <c r="Q31">
        <v>0</v>
      </c>
      <c r="R31">
        <v>0</v>
      </c>
      <c r="S31">
        <v>0</v>
      </c>
      <c r="T31">
        <v>0</v>
      </c>
      <c r="U31">
        <v>0</v>
      </c>
      <c r="V31">
        <v>175</v>
      </c>
      <c r="W31">
        <v>175</v>
      </c>
      <c r="X31" t="s">
        <v>1103</v>
      </c>
    </row>
    <row r="32" spans="2:24">
      <c r="B32">
        <v>19</v>
      </c>
      <c r="C32" t="s">
        <v>69</v>
      </c>
      <c r="D32" t="s">
        <v>68</v>
      </c>
      <c r="E32" t="s">
        <v>816</v>
      </c>
      <c r="G32" t="s">
        <v>1082</v>
      </c>
      <c r="H32">
        <v>2000</v>
      </c>
      <c r="I32">
        <v>0</v>
      </c>
      <c r="J32">
        <v>2000</v>
      </c>
      <c r="K32" t="s">
        <v>1104</v>
      </c>
      <c r="L32">
        <v>2100</v>
      </c>
      <c r="M32">
        <v>0</v>
      </c>
      <c r="N32">
        <v>2100</v>
      </c>
      <c r="O32">
        <v>0</v>
      </c>
      <c r="P32">
        <v>0</v>
      </c>
      <c r="Q32">
        <v>0</v>
      </c>
      <c r="R32">
        <v>0</v>
      </c>
      <c r="S32">
        <v>0</v>
      </c>
      <c r="T32">
        <v>0</v>
      </c>
      <c r="U32">
        <v>0</v>
      </c>
      <c r="V32">
        <v>0</v>
      </c>
      <c r="W32">
        <v>0</v>
      </c>
      <c r="X32" t="s">
        <v>1105</v>
      </c>
    </row>
    <row r="33" spans="2:24">
      <c r="B33">
        <v>20</v>
      </c>
      <c r="C33" t="s">
        <v>69</v>
      </c>
      <c r="D33" t="s">
        <v>68</v>
      </c>
      <c r="E33" t="s">
        <v>378</v>
      </c>
      <c r="G33" t="s">
        <v>1082</v>
      </c>
      <c r="H33">
        <v>3000</v>
      </c>
      <c r="I33">
        <v>1000</v>
      </c>
      <c r="J33">
        <v>2000</v>
      </c>
      <c r="K33" t="s">
        <v>1106</v>
      </c>
      <c r="L33">
        <v>1150</v>
      </c>
      <c r="M33">
        <v>1000</v>
      </c>
      <c r="N33">
        <v>2150</v>
      </c>
      <c r="O33">
        <v>0</v>
      </c>
      <c r="P33">
        <v>0</v>
      </c>
      <c r="Q33">
        <v>0</v>
      </c>
      <c r="R33">
        <v>0</v>
      </c>
      <c r="S33">
        <v>0</v>
      </c>
      <c r="T33">
        <v>0</v>
      </c>
      <c r="U33">
        <v>0</v>
      </c>
      <c r="V33">
        <v>0</v>
      </c>
      <c r="W33">
        <v>0</v>
      </c>
      <c r="X33" t="s">
        <v>1107</v>
      </c>
    </row>
    <row r="34" spans="2:24">
      <c r="B34">
        <v>21</v>
      </c>
      <c r="C34" t="s">
        <v>69</v>
      </c>
      <c r="D34" t="s">
        <v>68</v>
      </c>
      <c r="E34" t="s">
        <v>397</v>
      </c>
      <c r="G34" t="s">
        <v>1082</v>
      </c>
      <c r="H34">
        <v>3000</v>
      </c>
      <c r="I34">
        <v>1000</v>
      </c>
      <c r="J34">
        <v>2000</v>
      </c>
      <c r="K34" t="s">
        <v>1106</v>
      </c>
      <c r="L34">
        <v>1050</v>
      </c>
      <c r="M34">
        <v>2020</v>
      </c>
      <c r="N34">
        <v>3070</v>
      </c>
      <c r="O34">
        <v>0</v>
      </c>
      <c r="P34">
        <v>0</v>
      </c>
      <c r="Q34">
        <v>0</v>
      </c>
      <c r="R34">
        <v>0</v>
      </c>
      <c r="S34">
        <v>0</v>
      </c>
      <c r="T34">
        <v>0</v>
      </c>
      <c r="U34">
        <v>0</v>
      </c>
      <c r="V34">
        <v>0</v>
      </c>
      <c r="W34">
        <v>0</v>
      </c>
      <c r="X34" t="s">
        <v>1108</v>
      </c>
    </row>
    <row r="35" spans="2:24">
      <c r="B35">
        <v>22</v>
      </c>
      <c r="C35" t="s">
        <v>69</v>
      </c>
      <c r="D35" t="s">
        <v>68</v>
      </c>
      <c r="E35" t="s">
        <v>392</v>
      </c>
      <c r="G35" t="s">
        <v>1082</v>
      </c>
      <c r="H35">
        <v>8000</v>
      </c>
      <c r="I35">
        <v>3000</v>
      </c>
      <c r="J35">
        <v>5000</v>
      </c>
      <c r="K35" t="s">
        <v>1095</v>
      </c>
      <c r="L35">
        <v>1647</v>
      </c>
      <c r="M35">
        <v>3300</v>
      </c>
      <c r="N35">
        <v>4947</v>
      </c>
      <c r="O35">
        <v>150</v>
      </c>
      <c r="P35">
        <v>0</v>
      </c>
      <c r="Q35">
        <v>150</v>
      </c>
      <c r="R35">
        <v>0</v>
      </c>
      <c r="S35">
        <v>0</v>
      </c>
      <c r="T35">
        <v>0</v>
      </c>
      <c r="U35">
        <v>19</v>
      </c>
      <c r="V35">
        <v>0</v>
      </c>
      <c r="W35">
        <v>19</v>
      </c>
      <c r="X35" t="s">
        <v>1109</v>
      </c>
    </row>
    <row r="36" spans="2:24">
      <c r="B36">
        <v>23</v>
      </c>
      <c r="C36" t="s">
        <v>69</v>
      </c>
      <c r="D36" t="s">
        <v>68</v>
      </c>
      <c r="E36" t="s">
        <v>1110</v>
      </c>
      <c r="G36" t="s">
        <v>1082</v>
      </c>
      <c r="H36">
        <v>6000</v>
      </c>
      <c r="I36">
        <v>0</v>
      </c>
      <c r="J36">
        <v>6000</v>
      </c>
      <c r="K36" t="s">
        <v>1092</v>
      </c>
      <c r="L36">
        <v>930</v>
      </c>
      <c r="M36">
        <v>3282</v>
      </c>
      <c r="N36">
        <v>4212</v>
      </c>
      <c r="O36">
        <v>500</v>
      </c>
      <c r="P36">
        <v>1177.33</v>
      </c>
      <c r="Q36">
        <v>1677</v>
      </c>
      <c r="R36">
        <v>0</v>
      </c>
      <c r="S36">
        <v>0</v>
      </c>
      <c r="T36">
        <v>0</v>
      </c>
      <c r="U36">
        <v>111</v>
      </c>
      <c r="V36">
        <v>0</v>
      </c>
      <c r="W36">
        <v>111</v>
      </c>
      <c r="X36" t="s">
        <v>1111</v>
      </c>
    </row>
    <row r="37" spans="2:24">
      <c r="B37">
        <v>24</v>
      </c>
      <c r="C37" t="s">
        <v>69</v>
      </c>
      <c r="D37" t="s">
        <v>68</v>
      </c>
      <c r="E37" t="s">
        <v>902</v>
      </c>
      <c r="G37" t="s">
        <v>1082</v>
      </c>
      <c r="H37">
        <v>3000</v>
      </c>
      <c r="I37">
        <v>1000</v>
      </c>
      <c r="J37">
        <v>2000</v>
      </c>
      <c r="K37" t="s">
        <v>1106</v>
      </c>
      <c r="L37">
        <v>1705</v>
      </c>
      <c r="M37">
        <v>600</v>
      </c>
      <c r="N37">
        <v>2305</v>
      </c>
      <c r="O37">
        <v>0</v>
      </c>
      <c r="P37">
        <v>0</v>
      </c>
      <c r="Q37">
        <v>0</v>
      </c>
      <c r="R37">
        <v>0</v>
      </c>
      <c r="S37">
        <v>0</v>
      </c>
      <c r="T37">
        <v>0</v>
      </c>
      <c r="U37">
        <v>0</v>
      </c>
      <c r="V37">
        <v>0</v>
      </c>
      <c r="W37">
        <v>0</v>
      </c>
      <c r="X37" t="s">
        <v>1112</v>
      </c>
    </row>
    <row r="38" spans="2:24">
      <c r="B38">
        <v>25</v>
      </c>
      <c r="C38" t="s">
        <v>69</v>
      </c>
      <c r="D38" t="s">
        <v>68</v>
      </c>
      <c r="E38" t="s">
        <v>901</v>
      </c>
      <c r="G38" t="s">
        <v>1082</v>
      </c>
      <c r="K38" t="s">
        <v>1106</v>
      </c>
      <c r="L38">
        <v>900</v>
      </c>
      <c r="M38">
        <v>0</v>
      </c>
      <c r="N38">
        <v>900</v>
      </c>
      <c r="O38">
        <v>0</v>
      </c>
      <c r="P38">
        <v>0</v>
      </c>
      <c r="Q38">
        <v>0</v>
      </c>
      <c r="R38">
        <v>0</v>
      </c>
      <c r="S38">
        <v>0</v>
      </c>
      <c r="T38">
        <v>0</v>
      </c>
      <c r="U38">
        <v>200</v>
      </c>
      <c r="V38">
        <v>900</v>
      </c>
      <c r="W38">
        <v>1100</v>
      </c>
      <c r="X38" t="s">
        <v>1113</v>
      </c>
    </row>
    <row r="39" spans="2:24">
      <c r="B39">
        <v>26</v>
      </c>
      <c r="C39" t="s">
        <v>1114</v>
      </c>
      <c r="D39" t="s">
        <v>68</v>
      </c>
      <c r="E39" t="s">
        <v>1115</v>
      </c>
      <c r="F39" t="s">
        <v>1116</v>
      </c>
      <c r="G39" t="s">
        <v>1082</v>
      </c>
      <c r="H39">
        <v>13000</v>
      </c>
      <c r="I39">
        <v>0</v>
      </c>
      <c r="J39">
        <v>13000</v>
      </c>
      <c r="K39" t="s">
        <v>1117</v>
      </c>
      <c r="L39">
        <v>0</v>
      </c>
      <c r="M39">
        <v>0</v>
      </c>
      <c r="N39">
        <v>0</v>
      </c>
      <c r="O39">
        <v>0</v>
      </c>
      <c r="P39">
        <v>0</v>
      </c>
      <c r="Q39">
        <v>0</v>
      </c>
      <c r="R39">
        <v>0</v>
      </c>
      <c r="S39">
        <v>13000</v>
      </c>
      <c r="T39">
        <v>13000</v>
      </c>
      <c r="U39">
        <v>0</v>
      </c>
      <c r="V39">
        <v>0</v>
      </c>
      <c r="W39">
        <v>0</v>
      </c>
      <c r="X39" t="s">
        <v>1118</v>
      </c>
    </row>
    <row r="40" spans="2:24">
      <c r="B40">
        <v>27</v>
      </c>
      <c r="C40" t="s">
        <v>69</v>
      </c>
      <c r="D40" t="s">
        <v>68</v>
      </c>
      <c r="E40" t="s">
        <v>903</v>
      </c>
      <c r="G40" t="s">
        <v>1082</v>
      </c>
      <c r="H40">
        <v>6000</v>
      </c>
      <c r="I40">
        <v>0</v>
      </c>
      <c r="J40">
        <v>6000</v>
      </c>
      <c r="K40" t="s">
        <v>1119</v>
      </c>
      <c r="L40">
        <v>1300</v>
      </c>
      <c r="M40">
        <v>4700</v>
      </c>
      <c r="N40">
        <v>6000</v>
      </c>
      <c r="O40">
        <v>0</v>
      </c>
      <c r="P40">
        <v>0</v>
      </c>
      <c r="Q40">
        <v>0</v>
      </c>
      <c r="R40">
        <v>0</v>
      </c>
      <c r="S40">
        <v>0</v>
      </c>
      <c r="T40">
        <v>0</v>
      </c>
      <c r="U40">
        <v>0</v>
      </c>
      <c r="V40">
        <v>0</v>
      </c>
      <c r="W40">
        <v>0</v>
      </c>
      <c r="X40" t="s">
        <v>1120</v>
      </c>
    </row>
    <row r="41" spans="2:24">
      <c r="B41">
        <v>28</v>
      </c>
      <c r="C41" t="s">
        <v>69</v>
      </c>
      <c r="D41" t="s">
        <v>68</v>
      </c>
      <c r="E41" t="s">
        <v>1121</v>
      </c>
      <c r="G41" t="s">
        <v>1082</v>
      </c>
      <c r="H41">
        <v>4830</v>
      </c>
      <c r="I41">
        <v>0</v>
      </c>
      <c r="J41">
        <v>4830</v>
      </c>
      <c r="K41" t="s">
        <v>1122</v>
      </c>
      <c r="L41">
        <v>300</v>
      </c>
      <c r="M41">
        <v>0</v>
      </c>
      <c r="N41">
        <v>300</v>
      </c>
      <c r="O41">
        <v>700</v>
      </c>
      <c r="P41">
        <v>2100</v>
      </c>
      <c r="Q41">
        <v>2800</v>
      </c>
      <c r="R41">
        <v>0</v>
      </c>
      <c r="S41">
        <v>0</v>
      </c>
      <c r="T41">
        <v>0</v>
      </c>
      <c r="U41">
        <v>2000</v>
      </c>
      <c r="V41">
        <v>900</v>
      </c>
      <c r="W41">
        <v>2900</v>
      </c>
      <c r="X41" t="s">
        <v>1123</v>
      </c>
    </row>
    <row r="42" spans="2:24">
      <c r="B42">
        <v>29</v>
      </c>
      <c r="C42" t="s">
        <v>997</v>
      </c>
      <c r="D42" t="s">
        <v>417</v>
      </c>
      <c r="E42" t="s">
        <v>1124</v>
      </c>
      <c r="G42" t="s">
        <v>1045</v>
      </c>
      <c r="H42">
        <v>1500</v>
      </c>
      <c r="I42">
        <v>0</v>
      </c>
      <c r="J42">
        <v>1500</v>
      </c>
      <c r="K42" t="s">
        <v>1045</v>
      </c>
      <c r="L42">
        <v>2200</v>
      </c>
      <c r="M42">
        <v>0</v>
      </c>
      <c r="N42">
        <v>2200</v>
      </c>
      <c r="O42">
        <v>400</v>
      </c>
      <c r="P42">
        <v>0</v>
      </c>
      <c r="Q42">
        <v>400</v>
      </c>
      <c r="R42">
        <v>0</v>
      </c>
      <c r="S42">
        <v>0</v>
      </c>
      <c r="T42">
        <v>0</v>
      </c>
      <c r="U42">
        <v>0</v>
      </c>
      <c r="V42">
        <v>0</v>
      </c>
      <c r="W42">
        <v>0</v>
      </c>
      <c r="X42" t="s">
        <v>1125</v>
      </c>
    </row>
    <row r="43" spans="2:24">
      <c r="B43">
        <v>30</v>
      </c>
      <c r="C43" t="s">
        <v>682</v>
      </c>
      <c r="D43" t="s">
        <v>417</v>
      </c>
      <c r="E43" t="s">
        <v>1126</v>
      </c>
      <c r="G43" t="s">
        <v>1045</v>
      </c>
      <c r="H43">
        <v>2050</v>
      </c>
      <c r="I43">
        <v>0</v>
      </c>
      <c r="J43">
        <v>2050</v>
      </c>
      <c r="K43" t="s">
        <v>1045</v>
      </c>
      <c r="L43">
        <v>2550</v>
      </c>
      <c r="M43">
        <v>0</v>
      </c>
      <c r="N43">
        <v>2550</v>
      </c>
      <c r="O43">
        <v>0</v>
      </c>
      <c r="P43">
        <v>0</v>
      </c>
      <c r="Q43">
        <v>0</v>
      </c>
      <c r="R43">
        <v>0</v>
      </c>
      <c r="S43">
        <v>0</v>
      </c>
      <c r="T43">
        <v>0</v>
      </c>
      <c r="U43">
        <v>0</v>
      </c>
      <c r="V43">
        <v>0</v>
      </c>
      <c r="W43">
        <v>0</v>
      </c>
      <c r="X43" t="s">
        <v>1127</v>
      </c>
    </row>
    <row r="44" spans="2:24">
      <c r="B44">
        <v>31</v>
      </c>
      <c r="C44" t="s">
        <v>661</v>
      </c>
      <c r="D44" t="s">
        <v>417</v>
      </c>
      <c r="E44" t="s">
        <v>1128</v>
      </c>
      <c r="G44" t="s">
        <v>1045</v>
      </c>
      <c r="H44">
        <v>2500</v>
      </c>
      <c r="I44">
        <v>0</v>
      </c>
      <c r="J44">
        <v>2500</v>
      </c>
      <c r="K44" t="s">
        <v>1045</v>
      </c>
      <c r="L44">
        <v>2848</v>
      </c>
      <c r="M44">
        <v>0</v>
      </c>
      <c r="N44">
        <v>2848</v>
      </c>
      <c r="O44">
        <v>100</v>
      </c>
      <c r="P44">
        <v>0</v>
      </c>
      <c r="Q44">
        <v>100</v>
      </c>
      <c r="R44">
        <v>52</v>
      </c>
      <c r="S44">
        <v>0</v>
      </c>
      <c r="T44">
        <v>52</v>
      </c>
      <c r="X44" t="s">
        <v>1129</v>
      </c>
    </row>
    <row r="45" spans="2:24">
      <c r="B45">
        <v>32</v>
      </c>
      <c r="C45" t="s">
        <v>682</v>
      </c>
      <c r="D45" t="s">
        <v>417</v>
      </c>
      <c r="E45" t="s">
        <v>995</v>
      </c>
      <c r="G45" t="s">
        <v>1045</v>
      </c>
      <c r="H45">
        <v>2500</v>
      </c>
      <c r="I45">
        <v>0</v>
      </c>
      <c r="J45">
        <v>2500</v>
      </c>
      <c r="K45" t="s">
        <v>1045</v>
      </c>
      <c r="L45">
        <v>2753</v>
      </c>
      <c r="M45">
        <v>0</v>
      </c>
      <c r="N45">
        <v>2753</v>
      </c>
      <c r="O45">
        <v>300</v>
      </c>
      <c r="P45">
        <v>0</v>
      </c>
      <c r="Q45">
        <v>300</v>
      </c>
      <c r="R45">
        <v>0</v>
      </c>
      <c r="S45">
        <v>0</v>
      </c>
      <c r="T45">
        <v>0</v>
      </c>
      <c r="X45" t="s">
        <v>1130</v>
      </c>
    </row>
    <row r="46" spans="2:24">
      <c r="B46">
        <v>33</v>
      </c>
      <c r="C46" t="s">
        <v>661</v>
      </c>
      <c r="D46" t="s">
        <v>417</v>
      </c>
      <c r="E46" t="s">
        <v>1131</v>
      </c>
      <c r="F46" t="s">
        <v>1132</v>
      </c>
      <c r="G46" t="s">
        <v>1045</v>
      </c>
      <c r="H46">
        <v>1000</v>
      </c>
      <c r="I46">
        <v>0</v>
      </c>
      <c r="J46">
        <v>1000</v>
      </c>
      <c r="K46" t="s">
        <v>1045</v>
      </c>
      <c r="L46">
        <v>918</v>
      </c>
      <c r="M46">
        <v>0</v>
      </c>
      <c r="N46">
        <v>918</v>
      </c>
      <c r="O46">
        <v>0</v>
      </c>
      <c r="P46">
        <v>0</v>
      </c>
      <c r="Q46">
        <v>0</v>
      </c>
      <c r="R46">
        <v>0</v>
      </c>
      <c r="S46">
        <v>0</v>
      </c>
      <c r="T46">
        <v>0</v>
      </c>
      <c r="X46" t="s">
        <v>1133</v>
      </c>
    </row>
    <row r="47" spans="2:24">
      <c r="B47">
        <v>34</v>
      </c>
      <c r="C47" t="s">
        <v>682</v>
      </c>
      <c r="D47" t="s">
        <v>417</v>
      </c>
      <c r="E47" t="s">
        <v>994</v>
      </c>
      <c r="G47" t="s">
        <v>1045</v>
      </c>
      <c r="H47">
        <v>2500</v>
      </c>
      <c r="I47">
        <v>0</v>
      </c>
      <c r="J47">
        <v>2500</v>
      </c>
      <c r="K47" t="s">
        <v>1045</v>
      </c>
      <c r="L47">
        <v>2243</v>
      </c>
      <c r="M47">
        <v>0</v>
      </c>
      <c r="N47">
        <v>2243</v>
      </c>
      <c r="O47">
        <v>0</v>
      </c>
      <c r="P47">
        <v>0</v>
      </c>
      <c r="Q47">
        <v>0</v>
      </c>
      <c r="R47">
        <v>0</v>
      </c>
      <c r="S47">
        <v>0</v>
      </c>
      <c r="T47">
        <v>0</v>
      </c>
      <c r="X47" t="s">
        <v>1134</v>
      </c>
    </row>
    <row r="48" spans="2:24">
      <c r="B48">
        <v>35</v>
      </c>
      <c r="C48" t="s">
        <v>997</v>
      </c>
      <c r="D48" t="s">
        <v>417</v>
      </c>
      <c r="E48" t="s">
        <v>1135</v>
      </c>
      <c r="G48" t="s">
        <v>1045</v>
      </c>
      <c r="H48">
        <v>4500</v>
      </c>
      <c r="I48">
        <v>0</v>
      </c>
      <c r="J48">
        <v>4500</v>
      </c>
      <c r="K48" t="s">
        <v>1045</v>
      </c>
      <c r="L48">
        <v>2250</v>
      </c>
      <c r="M48">
        <v>1850</v>
      </c>
      <c r="N48">
        <v>4100</v>
      </c>
      <c r="O48">
        <v>0</v>
      </c>
      <c r="P48">
        <v>0</v>
      </c>
      <c r="Q48">
        <v>0</v>
      </c>
      <c r="R48">
        <v>0</v>
      </c>
      <c r="S48">
        <v>0</v>
      </c>
      <c r="T48">
        <v>0</v>
      </c>
      <c r="X48" t="s">
        <v>1136</v>
      </c>
    </row>
    <row r="49" spans="2:24">
      <c r="B49">
        <v>36</v>
      </c>
      <c r="C49" t="s">
        <v>661</v>
      </c>
      <c r="D49" t="s">
        <v>417</v>
      </c>
      <c r="E49" t="s">
        <v>1131</v>
      </c>
      <c r="F49" t="s">
        <v>1137</v>
      </c>
      <c r="G49" t="s">
        <v>1068</v>
      </c>
      <c r="H49">
        <v>1500</v>
      </c>
      <c r="I49">
        <v>0</v>
      </c>
      <c r="J49">
        <v>1500</v>
      </c>
      <c r="K49" t="s">
        <v>1138</v>
      </c>
      <c r="L49">
        <v>1351</v>
      </c>
      <c r="M49">
        <v>0</v>
      </c>
      <c r="N49">
        <v>1351</v>
      </c>
      <c r="O49">
        <v>300</v>
      </c>
      <c r="P49">
        <v>0</v>
      </c>
      <c r="Q49">
        <v>300</v>
      </c>
      <c r="R49">
        <v>0</v>
      </c>
      <c r="S49">
        <v>0</v>
      </c>
      <c r="T49">
        <v>0</v>
      </c>
      <c r="U49">
        <v>0</v>
      </c>
      <c r="V49">
        <v>0</v>
      </c>
      <c r="W49">
        <v>0</v>
      </c>
      <c r="X49" t="s">
        <v>1139</v>
      </c>
    </row>
    <row r="50" spans="2:24">
      <c r="B50">
        <v>37</v>
      </c>
      <c r="C50" t="s">
        <v>682</v>
      </c>
      <c r="D50" t="s">
        <v>417</v>
      </c>
      <c r="E50" t="s">
        <v>1140</v>
      </c>
      <c r="G50" t="s">
        <v>1068</v>
      </c>
      <c r="H50">
        <v>8000</v>
      </c>
      <c r="I50">
        <v>2000</v>
      </c>
      <c r="J50">
        <v>6000</v>
      </c>
      <c r="L50">
        <v>6620</v>
      </c>
      <c r="M50">
        <v>1800</v>
      </c>
      <c r="N50">
        <v>8420</v>
      </c>
      <c r="O50">
        <v>635</v>
      </c>
      <c r="P50">
        <v>0</v>
      </c>
      <c r="Q50">
        <v>635</v>
      </c>
      <c r="R50">
        <v>600</v>
      </c>
      <c r="S50">
        <v>0</v>
      </c>
      <c r="T50">
        <v>600</v>
      </c>
      <c r="U50">
        <v>0</v>
      </c>
      <c r="V50">
        <v>0</v>
      </c>
      <c r="W50">
        <v>0</v>
      </c>
    </row>
    <row r="51" spans="2:24">
      <c r="B51" t="s">
        <v>1141</v>
      </c>
      <c r="C51" t="s">
        <v>682</v>
      </c>
      <c r="D51" t="s">
        <v>417</v>
      </c>
      <c r="E51" t="s">
        <v>1016</v>
      </c>
      <c r="G51" t="s">
        <v>1068</v>
      </c>
      <c r="H51">
        <v>4000</v>
      </c>
      <c r="I51">
        <v>1000</v>
      </c>
      <c r="J51">
        <v>3000</v>
      </c>
      <c r="K51" t="s">
        <v>1080</v>
      </c>
      <c r="L51">
        <v>3305</v>
      </c>
      <c r="M51">
        <v>0</v>
      </c>
      <c r="N51">
        <v>3305</v>
      </c>
      <c r="O51">
        <v>175</v>
      </c>
      <c r="P51">
        <v>0</v>
      </c>
      <c r="Q51">
        <v>175</v>
      </c>
      <c r="R51">
        <v>600</v>
      </c>
      <c r="S51">
        <v>0</v>
      </c>
      <c r="T51">
        <v>600</v>
      </c>
      <c r="U51">
        <v>0</v>
      </c>
      <c r="W51">
        <v>0</v>
      </c>
      <c r="X51" t="s">
        <v>1080</v>
      </c>
    </row>
    <row r="52" spans="2:24">
      <c r="B52" t="s">
        <v>1142</v>
      </c>
      <c r="C52" t="s">
        <v>682</v>
      </c>
      <c r="D52" t="s">
        <v>417</v>
      </c>
      <c r="E52" t="s">
        <v>1017</v>
      </c>
      <c r="G52" t="s">
        <v>1068</v>
      </c>
      <c r="H52">
        <v>4000</v>
      </c>
      <c r="I52">
        <v>1000</v>
      </c>
      <c r="J52">
        <v>3000</v>
      </c>
      <c r="K52" t="s">
        <v>1080</v>
      </c>
      <c r="L52">
        <v>3316</v>
      </c>
      <c r="M52">
        <v>1800</v>
      </c>
      <c r="N52">
        <v>5116</v>
      </c>
      <c r="O52">
        <v>460</v>
      </c>
      <c r="P52">
        <v>0</v>
      </c>
      <c r="Q52">
        <v>460</v>
      </c>
      <c r="R52">
        <v>0</v>
      </c>
      <c r="S52">
        <v>0</v>
      </c>
      <c r="T52">
        <v>0</v>
      </c>
      <c r="U52">
        <v>0</v>
      </c>
      <c r="W52">
        <v>0</v>
      </c>
      <c r="X52" t="s">
        <v>1143</v>
      </c>
    </row>
    <row r="53" spans="2:24">
      <c r="B53">
        <v>38</v>
      </c>
      <c r="C53" t="s">
        <v>997</v>
      </c>
      <c r="D53" t="s">
        <v>417</v>
      </c>
      <c r="E53" t="s">
        <v>1144</v>
      </c>
      <c r="G53" t="s">
        <v>1068</v>
      </c>
      <c r="H53">
        <v>3500</v>
      </c>
      <c r="I53">
        <v>0</v>
      </c>
      <c r="J53">
        <v>3500</v>
      </c>
      <c r="K53" t="s">
        <v>1145</v>
      </c>
      <c r="L53">
        <v>1545</v>
      </c>
      <c r="M53">
        <v>2484</v>
      </c>
      <c r="N53">
        <v>4029</v>
      </c>
      <c r="O53">
        <v>0</v>
      </c>
      <c r="P53">
        <v>0</v>
      </c>
      <c r="Q53">
        <v>0</v>
      </c>
      <c r="R53">
        <v>0</v>
      </c>
      <c r="S53">
        <v>0</v>
      </c>
      <c r="T53">
        <v>0</v>
      </c>
      <c r="U53">
        <v>0</v>
      </c>
      <c r="V53">
        <v>0</v>
      </c>
      <c r="W53">
        <v>0</v>
      </c>
      <c r="X53" t="s">
        <v>1146</v>
      </c>
    </row>
    <row r="54" spans="2:24">
      <c r="B54">
        <v>39</v>
      </c>
      <c r="C54" t="s">
        <v>682</v>
      </c>
      <c r="D54" t="s">
        <v>417</v>
      </c>
      <c r="E54" t="s">
        <v>1126</v>
      </c>
      <c r="F54" t="s">
        <v>1147</v>
      </c>
      <c r="G54" t="s">
        <v>1068</v>
      </c>
      <c r="H54">
        <v>0</v>
      </c>
      <c r="I54">
        <v>0</v>
      </c>
      <c r="J54">
        <v>0</v>
      </c>
      <c r="K54" t="s">
        <v>1145</v>
      </c>
      <c r="L54">
        <v>800</v>
      </c>
      <c r="M54">
        <v>0</v>
      </c>
      <c r="N54">
        <v>800</v>
      </c>
      <c r="O54">
        <v>0</v>
      </c>
      <c r="P54">
        <v>0</v>
      </c>
      <c r="Q54">
        <v>0</v>
      </c>
      <c r="R54">
        <v>0</v>
      </c>
      <c r="S54">
        <v>0</v>
      </c>
      <c r="T54">
        <v>0</v>
      </c>
      <c r="U54">
        <v>0</v>
      </c>
      <c r="V54">
        <v>0</v>
      </c>
      <c r="W54">
        <v>0</v>
      </c>
      <c r="X54" t="s">
        <v>1148</v>
      </c>
    </row>
    <row r="55" spans="2:24">
      <c r="B55">
        <v>40</v>
      </c>
      <c r="C55" t="s">
        <v>682</v>
      </c>
      <c r="D55" t="s">
        <v>417</v>
      </c>
      <c r="E55" t="s">
        <v>1149</v>
      </c>
      <c r="G55" t="s">
        <v>1150</v>
      </c>
      <c r="H55">
        <v>8500</v>
      </c>
      <c r="I55">
        <v>1000</v>
      </c>
      <c r="J55">
        <v>7500</v>
      </c>
      <c r="K55" t="s">
        <v>1151</v>
      </c>
      <c r="L55">
        <v>7022</v>
      </c>
      <c r="M55">
        <v>850</v>
      </c>
      <c r="N55">
        <v>7872</v>
      </c>
      <c r="O55">
        <v>2989</v>
      </c>
      <c r="P55">
        <v>0</v>
      </c>
      <c r="Q55">
        <v>2989</v>
      </c>
      <c r="R55">
        <v>0</v>
      </c>
      <c r="S55">
        <v>0</v>
      </c>
      <c r="T55">
        <v>0</v>
      </c>
      <c r="U55">
        <v>0</v>
      </c>
      <c r="V55">
        <v>0</v>
      </c>
      <c r="W55">
        <v>0</v>
      </c>
      <c r="X55" t="s">
        <v>1152</v>
      </c>
    </row>
    <row r="56" spans="2:24">
      <c r="B56" t="s">
        <v>1153</v>
      </c>
      <c r="C56" t="s">
        <v>682</v>
      </c>
      <c r="D56" t="s">
        <v>417</v>
      </c>
      <c r="E56" t="s">
        <v>1154</v>
      </c>
      <c r="G56" t="s">
        <v>1150</v>
      </c>
      <c r="H56">
        <v>4250</v>
      </c>
      <c r="I56">
        <v>1000</v>
      </c>
      <c r="J56">
        <v>3250</v>
      </c>
      <c r="K56" t="s">
        <v>1151</v>
      </c>
      <c r="L56">
        <v>3388</v>
      </c>
      <c r="M56">
        <v>850</v>
      </c>
      <c r="N56">
        <v>4238</v>
      </c>
      <c r="O56">
        <v>724</v>
      </c>
      <c r="P56">
        <v>0</v>
      </c>
      <c r="Q56">
        <v>724</v>
      </c>
      <c r="R56">
        <v>0</v>
      </c>
      <c r="S56">
        <v>0</v>
      </c>
      <c r="T56">
        <v>0</v>
      </c>
      <c r="U56">
        <v>0</v>
      </c>
      <c r="V56">
        <v>0</v>
      </c>
      <c r="W56">
        <v>0</v>
      </c>
      <c r="X56" t="s">
        <v>1155</v>
      </c>
    </row>
    <row r="57" spans="2:24">
      <c r="B57" t="s">
        <v>1156</v>
      </c>
      <c r="C57" t="s">
        <v>682</v>
      </c>
      <c r="D57" t="s">
        <v>417</v>
      </c>
      <c r="E57" t="s">
        <v>1020</v>
      </c>
      <c r="G57" t="s">
        <v>1150</v>
      </c>
      <c r="H57">
        <v>4250</v>
      </c>
      <c r="I57">
        <v>0</v>
      </c>
      <c r="J57">
        <v>4250</v>
      </c>
      <c r="K57" t="s">
        <v>1157</v>
      </c>
      <c r="L57">
        <v>3634</v>
      </c>
      <c r="M57">
        <v>0</v>
      </c>
      <c r="N57">
        <v>3634</v>
      </c>
      <c r="O57">
        <v>2265</v>
      </c>
      <c r="P57">
        <v>0</v>
      </c>
      <c r="Q57">
        <v>2265</v>
      </c>
      <c r="R57">
        <v>0</v>
      </c>
      <c r="S57">
        <v>0</v>
      </c>
      <c r="T57">
        <v>0</v>
      </c>
      <c r="U57">
        <v>0</v>
      </c>
      <c r="V57">
        <v>0</v>
      </c>
      <c r="W57">
        <v>0</v>
      </c>
      <c r="X57" t="s">
        <v>1158</v>
      </c>
    </row>
    <row r="58" spans="2:24">
      <c r="B58">
        <v>41</v>
      </c>
      <c r="C58" t="s">
        <v>682</v>
      </c>
      <c r="D58" t="s">
        <v>417</v>
      </c>
      <c r="E58" t="s">
        <v>1019</v>
      </c>
      <c r="G58" t="s">
        <v>1150</v>
      </c>
      <c r="H58">
        <v>3500</v>
      </c>
      <c r="I58">
        <v>0</v>
      </c>
      <c r="J58">
        <v>3500</v>
      </c>
      <c r="K58" t="s">
        <v>1159</v>
      </c>
      <c r="L58">
        <v>1962</v>
      </c>
      <c r="M58">
        <v>0</v>
      </c>
      <c r="N58">
        <v>1962</v>
      </c>
      <c r="O58">
        <v>4431</v>
      </c>
      <c r="P58">
        <v>1200</v>
      </c>
      <c r="Q58">
        <v>5631</v>
      </c>
      <c r="R58">
        <v>0</v>
      </c>
      <c r="S58">
        <v>0</v>
      </c>
      <c r="T58">
        <v>0</v>
      </c>
      <c r="U58">
        <v>0</v>
      </c>
      <c r="V58">
        <v>0</v>
      </c>
      <c r="W58">
        <v>0</v>
      </c>
      <c r="X58" t="s">
        <v>1160</v>
      </c>
    </row>
    <row r="59" spans="2:24">
      <c r="B59">
        <v>42</v>
      </c>
      <c r="C59" t="s">
        <v>682</v>
      </c>
      <c r="D59" t="s">
        <v>417</v>
      </c>
      <c r="E59" t="s">
        <v>1161</v>
      </c>
      <c r="G59" t="s">
        <v>1150</v>
      </c>
      <c r="H59">
        <v>2500</v>
      </c>
      <c r="I59">
        <v>0</v>
      </c>
      <c r="J59">
        <v>2500</v>
      </c>
      <c r="K59" t="s">
        <v>1138</v>
      </c>
      <c r="L59">
        <v>3350</v>
      </c>
      <c r="M59">
        <v>0</v>
      </c>
      <c r="N59">
        <v>3350</v>
      </c>
      <c r="O59">
        <v>1650</v>
      </c>
      <c r="P59">
        <v>1100</v>
      </c>
      <c r="Q59">
        <v>2750</v>
      </c>
      <c r="R59">
        <v>0</v>
      </c>
      <c r="S59">
        <v>0</v>
      </c>
      <c r="T59">
        <v>0</v>
      </c>
      <c r="U59">
        <v>0</v>
      </c>
      <c r="V59">
        <v>0</v>
      </c>
      <c r="W59">
        <v>0</v>
      </c>
      <c r="X59" t="s">
        <v>1162</v>
      </c>
    </row>
    <row r="60" spans="2:24">
      <c r="B60">
        <v>43</v>
      </c>
      <c r="C60" t="s">
        <v>997</v>
      </c>
      <c r="D60" t="s">
        <v>417</v>
      </c>
      <c r="E60" t="s">
        <v>1163</v>
      </c>
      <c r="G60" t="s">
        <v>1150</v>
      </c>
      <c r="H60">
        <v>19500</v>
      </c>
      <c r="I60">
        <v>0</v>
      </c>
      <c r="J60">
        <v>19500</v>
      </c>
      <c r="L60">
        <v>10410</v>
      </c>
      <c r="M60">
        <v>7730</v>
      </c>
      <c r="N60">
        <v>18140</v>
      </c>
      <c r="O60">
        <v>0</v>
      </c>
      <c r="P60">
        <v>1450</v>
      </c>
      <c r="Q60">
        <v>1763</v>
      </c>
      <c r="R60">
        <v>180</v>
      </c>
      <c r="S60">
        <v>0</v>
      </c>
      <c r="T60">
        <v>180</v>
      </c>
      <c r="U60">
        <v>0</v>
      </c>
      <c r="V60">
        <v>0</v>
      </c>
      <c r="W60">
        <v>0</v>
      </c>
      <c r="X60" t="s">
        <v>1164</v>
      </c>
    </row>
    <row r="61" spans="2:24">
      <c r="B61" t="s">
        <v>1165</v>
      </c>
      <c r="C61" t="s">
        <v>997</v>
      </c>
      <c r="D61" t="s">
        <v>417</v>
      </c>
      <c r="E61" t="s">
        <v>1135</v>
      </c>
      <c r="F61" t="s">
        <v>1166</v>
      </c>
      <c r="G61" t="s">
        <v>1150</v>
      </c>
      <c r="H61">
        <v>4500</v>
      </c>
      <c r="I61">
        <v>0</v>
      </c>
      <c r="J61">
        <v>4500</v>
      </c>
      <c r="K61" t="s">
        <v>1151</v>
      </c>
      <c r="L61">
        <v>0</v>
      </c>
      <c r="M61">
        <v>3500</v>
      </c>
      <c r="N61">
        <v>3500</v>
      </c>
      <c r="O61">
        <v>0</v>
      </c>
      <c r="P61">
        <v>1450</v>
      </c>
      <c r="Q61">
        <v>1450</v>
      </c>
      <c r="R61">
        <v>0</v>
      </c>
      <c r="S61">
        <v>0</v>
      </c>
      <c r="T61">
        <v>0</v>
      </c>
      <c r="U61">
        <v>0</v>
      </c>
      <c r="V61">
        <v>0</v>
      </c>
      <c r="W61">
        <v>0</v>
      </c>
      <c r="X61" t="s">
        <v>1167</v>
      </c>
    </row>
    <row r="62" spans="2:24">
      <c r="B62" t="s">
        <v>1168</v>
      </c>
      <c r="C62" t="s">
        <v>997</v>
      </c>
      <c r="D62" t="s">
        <v>417</v>
      </c>
      <c r="E62" t="s">
        <v>1169</v>
      </c>
      <c r="G62" t="s">
        <v>1150</v>
      </c>
      <c r="H62">
        <v>7500</v>
      </c>
      <c r="I62">
        <v>0</v>
      </c>
      <c r="J62">
        <v>7500</v>
      </c>
      <c r="K62" t="s">
        <v>1170</v>
      </c>
      <c r="L62">
        <v>5420</v>
      </c>
      <c r="M62">
        <v>1900</v>
      </c>
      <c r="N62">
        <v>7320</v>
      </c>
      <c r="O62">
        <v>0</v>
      </c>
      <c r="P62">
        <v>0</v>
      </c>
      <c r="Q62">
        <v>313</v>
      </c>
      <c r="R62">
        <v>0</v>
      </c>
      <c r="S62">
        <v>0</v>
      </c>
      <c r="T62">
        <v>0</v>
      </c>
      <c r="U62">
        <v>0</v>
      </c>
      <c r="V62">
        <v>0</v>
      </c>
      <c r="W62">
        <v>0</v>
      </c>
      <c r="X62" t="s">
        <v>1171</v>
      </c>
    </row>
    <row r="63" spans="2:24">
      <c r="B63" t="s">
        <v>1172</v>
      </c>
      <c r="C63" t="s">
        <v>997</v>
      </c>
      <c r="D63" t="s">
        <v>417</v>
      </c>
      <c r="E63" t="s">
        <v>1012</v>
      </c>
      <c r="G63" t="s">
        <v>1150</v>
      </c>
      <c r="H63">
        <v>7500</v>
      </c>
      <c r="I63">
        <v>0</v>
      </c>
      <c r="J63">
        <v>7500</v>
      </c>
      <c r="K63" t="s">
        <v>1170</v>
      </c>
      <c r="L63">
        <v>4990</v>
      </c>
      <c r="M63">
        <v>2330</v>
      </c>
      <c r="N63">
        <v>7320</v>
      </c>
      <c r="O63">
        <v>0</v>
      </c>
      <c r="P63">
        <v>0</v>
      </c>
      <c r="Q63">
        <v>0</v>
      </c>
      <c r="R63">
        <v>180</v>
      </c>
      <c r="S63">
        <v>0</v>
      </c>
      <c r="T63">
        <v>180</v>
      </c>
      <c r="U63">
        <v>0</v>
      </c>
      <c r="V63">
        <v>0</v>
      </c>
      <c r="W63">
        <v>0</v>
      </c>
      <c r="X63" t="s">
        <v>1173</v>
      </c>
    </row>
    <row r="64" spans="2:24">
      <c r="B64">
        <v>44</v>
      </c>
      <c r="C64" t="s">
        <v>682</v>
      </c>
      <c r="D64" t="s">
        <v>417</v>
      </c>
      <c r="E64" t="s">
        <v>1021</v>
      </c>
      <c r="G64" t="s">
        <v>1150</v>
      </c>
      <c r="H64">
        <v>3000</v>
      </c>
      <c r="I64">
        <v>0</v>
      </c>
      <c r="J64">
        <v>3000</v>
      </c>
      <c r="K64" t="s">
        <v>1174</v>
      </c>
      <c r="L64">
        <v>2100</v>
      </c>
      <c r="M64">
        <v>0</v>
      </c>
      <c r="N64">
        <v>2100</v>
      </c>
      <c r="O64">
        <v>2450</v>
      </c>
      <c r="P64">
        <v>0</v>
      </c>
      <c r="Q64">
        <v>2450</v>
      </c>
      <c r="R64">
        <v>0</v>
      </c>
      <c r="S64">
        <v>0</v>
      </c>
      <c r="T64">
        <v>0</v>
      </c>
      <c r="U64">
        <v>0</v>
      </c>
      <c r="V64">
        <v>0</v>
      </c>
      <c r="W64">
        <v>0</v>
      </c>
      <c r="X64" t="s">
        <v>1175</v>
      </c>
    </row>
    <row r="65" spans="2:24">
      <c r="B65">
        <v>45</v>
      </c>
      <c r="C65" t="s">
        <v>999</v>
      </c>
      <c r="D65" t="s">
        <v>417</v>
      </c>
      <c r="E65" t="s">
        <v>1176</v>
      </c>
      <c r="G65" t="s">
        <v>1150</v>
      </c>
      <c r="H65">
        <v>5000</v>
      </c>
      <c r="I65">
        <v>0</v>
      </c>
      <c r="J65">
        <v>5000</v>
      </c>
      <c r="L65">
        <v>0</v>
      </c>
      <c r="M65">
        <v>0</v>
      </c>
      <c r="N65">
        <v>0</v>
      </c>
      <c r="O65">
        <v>0</v>
      </c>
      <c r="P65">
        <v>0</v>
      </c>
      <c r="Q65">
        <v>0</v>
      </c>
      <c r="R65">
        <v>5000</v>
      </c>
      <c r="S65">
        <v>0</v>
      </c>
      <c r="T65">
        <v>5000</v>
      </c>
      <c r="U65">
        <v>8500</v>
      </c>
      <c r="V65">
        <v>0</v>
      </c>
      <c r="W65">
        <v>8500</v>
      </c>
      <c r="X65" t="s">
        <v>1177</v>
      </c>
    </row>
    <row r="66" spans="2:24">
      <c r="B66" t="s">
        <v>1178</v>
      </c>
      <c r="C66" t="s">
        <v>999</v>
      </c>
      <c r="D66" t="s">
        <v>417</v>
      </c>
      <c r="E66" t="s">
        <v>1022</v>
      </c>
      <c r="G66" t="s">
        <v>1150</v>
      </c>
      <c r="H66">
        <v>2000</v>
      </c>
      <c r="I66">
        <v>0</v>
      </c>
      <c r="J66">
        <v>2000</v>
      </c>
      <c r="L66">
        <v>0</v>
      </c>
      <c r="M66">
        <v>0</v>
      </c>
      <c r="N66">
        <v>0</v>
      </c>
      <c r="O66">
        <v>0</v>
      </c>
      <c r="P66">
        <v>0</v>
      </c>
      <c r="Q66">
        <v>0</v>
      </c>
      <c r="R66">
        <v>2000</v>
      </c>
      <c r="S66">
        <v>0</v>
      </c>
      <c r="T66">
        <v>2000</v>
      </c>
      <c r="U66">
        <v>2500</v>
      </c>
      <c r="W66">
        <v>2500</v>
      </c>
      <c r="X66" t="s">
        <v>1177</v>
      </c>
    </row>
    <row r="67" spans="2:24">
      <c r="B67" t="s">
        <v>1179</v>
      </c>
      <c r="C67" t="s">
        <v>999</v>
      </c>
      <c r="D67" t="s">
        <v>417</v>
      </c>
      <c r="E67" t="s">
        <v>1023</v>
      </c>
      <c r="G67" t="s">
        <v>1150</v>
      </c>
      <c r="H67">
        <v>1500</v>
      </c>
      <c r="I67">
        <v>0</v>
      </c>
      <c r="J67">
        <v>1500</v>
      </c>
      <c r="L67">
        <v>0</v>
      </c>
      <c r="M67">
        <v>0</v>
      </c>
      <c r="N67">
        <v>0</v>
      </c>
      <c r="O67">
        <v>0</v>
      </c>
      <c r="P67">
        <v>0</v>
      </c>
      <c r="Q67">
        <v>0</v>
      </c>
      <c r="R67">
        <v>1500</v>
      </c>
      <c r="S67">
        <v>0</v>
      </c>
      <c r="T67">
        <v>1500</v>
      </c>
      <c r="U67">
        <v>3000</v>
      </c>
      <c r="W67">
        <v>3000</v>
      </c>
      <c r="X67" t="s">
        <v>1177</v>
      </c>
    </row>
    <row r="68" spans="2:24">
      <c r="B68" t="s">
        <v>1180</v>
      </c>
      <c r="C68" t="s">
        <v>999</v>
      </c>
      <c r="D68" t="s">
        <v>417</v>
      </c>
      <c r="E68" t="s">
        <v>1024</v>
      </c>
      <c r="G68" t="s">
        <v>1150</v>
      </c>
      <c r="H68">
        <v>1500</v>
      </c>
      <c r="I68">
        <v>0</v>
      </c>
      <c r="J68">
        <v>1500</v>
      </c>
      <c r="L68">
        <v>0</v>
      </c>
      <c r="M68">
        <v>0</v>
      </c>
      <c r="N68">
        <v>0</v>
      </c>
      <c r="O68">
        <v>0</v>
      </c>
      <c r="P68">
        <v>0</v>
      </c>
      <c r="Q68">
        <v>0</v>
      </c>
      <c r="R68">
        <v>1500</v>
      </c>
      <c r="S68">
        <v>0</v>
      </c>
      <c r="T68">
        <v>1500</v>
      </c>
      <c r="U68">
        <v>3000</v>
      </c>
      <c r="W68">
        <v>3000</v>
      </c>
      <c r="X68" t="s">
        <v>1177</v>
      </c>
    </row>
    <row r="69" spans="2:24">
      <c r="B69">
        <v>46</v>
      </c>
      <c r="C69" t="s">
        <v>661</v>
      </c>
      <c r="D69" t="s">
        <v>417</v>
      </c>
      <c r="E69" t="s">
        <v>1181</v>
      </c>
      <c r="F69" t="s">
        <v>1182</v>
      </c>
      <c r="G69" t="s">
        <v>1150</v>
      </c>
      <c r="H69">
        <v>500</v>
      </c>
      <c r="I69">
        <v>0</v>
      </c>
      <c r="J69">
        <v>500</v>
      </c>
      <c r="K69" t="s">
        <v>1183</v>
      </c>
      <c r="L69">
        <v>0</v>
      </c>
      <c r="M69">
        <v>0</v>
      </c>
      <c r="N69">
        <v>0</v>
      </c>
      <c r="O69">
        <v>0</v>
      </c>
      <c r="P69">
        <v>0</v>
      </c>
      <c r="Q69">
        <v>0</v>
      </c>
      <c r="R69">
        <v>500</v>
      </c>
      <c r="S69">
        <v>0</v>
      </c>
      <c r="T69">
        <v>500</v>
      </c>
      <c r="U69">
        <v>4500</v>
      </c>
      <c r="V69">
        <v>0</v>
      </c>
      <c r="W69">
        <v>4500</v>
      </c>
      <c r="X69" t="s">
        <v>1184</v>
      </c>
    </row>
    <row r="70" spans="2:24">
      <c r="B70">
        <v>47</v>
      </c>
      <c r="C70" t="s">
        <v>682</v>
      </c>
      <c r="D70" t="s">
        <v>417</v>
      </c>
      <c r="E70" t="s">
        <v>1126</v>
      </c>
      <c r="F70" t="s">
        <v>1147</v>
      </c>
      <c r="G70" t="s">
        <v>1150</v>
      </c>
      <c r="H70">
        <v>0</v>
      </c>
      <c r="I70">
        <v>0</v>
      </c>
      <c r="J70">
        <v>0</v>
      </c>
      <c r="K70" t="s">
        <v>1185</v>
      </c>
      <c r="L70">
        <v>1150</v>
      </c>
      <c r="M70">
        <v>0</v>
      </c>
      <c r="N70">
        <v>1150</v>
      </c>
      <c r="O70">
        <v>1400</v>
      </c>
      <c r="P70">
        <v>0</v>
      </c>
      <c r="Q70">
        <v>1400</v>
      </c>
      <c r="R70">
        <v>0</v>
      </c>
      <c r="S70">
        <v>0</v>
      </c>
      <c r="T70">
        <v>0</v>
      </c>
      <c r="U70">
        <v>0</v>
      </c>
      <c r="V70">
        <v>0</v>
      </c>
      <c r="W70">
        <v>0</v>
      </c>
      <c r="X70" t="s">
        <v>1186</v>
      </c>
    </row>
    <row r="71" spans="2:24">
      <c r="B71">
        <v>48</v>
      </c>
      <c r="C71" t="s">
        <v>997</v>
      </c>
      <c r="D71" t="s">
        <v>417</v>
      </c>
      <c r="E71" t="s">
        <v>1187</v>
      </c>
      <c r="G71" t="s">
        <v>1150</v>
      </c>
      <c r="H71">
        <v>7500</v>
      </c>
      <c r="I71">
        <v>0</v>
      </c>
      <c r="J71">
        <v>7500</v>
      </c>
      <c r="K71" t="s">
        <v>1188</v>
      </c>
      <c r="L71">
        <v>3630</v>
      </c>
      <c r="M71">
        <v>0</v>
      </c>
      <c r="N71">
        <v>3630</v>
      </c>
      <c r="O71">
        <v>1360</v>
      </c>
      <c r="P71">
        <v>0</v>
      </c>
      <c r="Q71">
        <v>1360</v>
      </c>
      <c r="R71">
        <v>2510</v>
      </c>
      <c r="S71">
        <v>0</v>
      </c>
      <c r="T71">
        <v>2510</v>
      </c>
      <c r="U71">
        <v>0</v>
      </c>
      <c r="V71">
        <v>0</v>
      </c>
      <c r="W71">
        <v>0</v>
      </c>
      <c r="X71" t="s">
        <v>1189</v>
      </c>
    </row>
    <row r="72" spans="2:24">
      <c r="B72">
        <v>49</v>
      </c>
      <c r="C72" t="s">
        <v>997</v>
      </c>
      <c r="D72" t="s">
        <v>417</v>
      </c>
      <c r="E72" t="s">
        <v>1013</v>
      </c>
      <c r="G72" t="s">
        <v>1150</v>
      </c>
      <c r="H72">
        <v>7500</v>
      </c>
      <c r="I72">
        <v>0</v>
      </c>
      <c r="J72">
        <v>7500</v>
      </c>
      <c r="K72" t="s">
        <v>1188</v>
      </c>
      <c r="L72">
        <v>1330</v>
      </c>
      <c r="M72">
        <v>0</v>
      </c>
      <c r="N72">
        <v>1330</v>
      </c>
      <c r="O72">
        <v>570</v>
      </c>
      <c r="P72">
        <v>0</v>
      </c>
      <c r="Q72">
        <v>570</v>
      </c>
      <c r="R72">
        <v>5600</v>
      </c>
      <c r="S72">
        <v>0</v>
      </c>
      <c r="T72">
        <v>5600</v>
      </c>
      <c r="U72">
        <v>0</v>
      </c>
      <c r="V72">
        <v>0</v>
      </c>
      <c r="W72">
        <v>0</v>
      </c>
      <c r="X72" t="s">
        <v>1189</v>
      </c>
    </row>
    <row r="73" spans="2:24">
      <c r="B73">
        <v>50</v>
      </c>
      <c r="C73" t="s">
        <v>997</v>
      </c>
      <c r="D73" t="s">
        <v>417</v>
      </c>
      <c r="E73" t="s">
        <v>1015</v>
      </c>
      <c r="G73" t="s">
        <v>1150</v>
      </c>
      <c r="H73">
        <v>7500</v>
      </c>
      <c r="I73">
        <v>0</v>
      </c>
      <c r="J73">
        <v>7500</v>
      </c>
      <c r="K73" t="s">
        <v>1190</v>
      </c>
      <c r="L73">
        <v>600</v>
      </c>
      <c r="M73">
        <v>0</v>
      </c>
      <c r="N73">
        <v>600</v>
      </c>
      <c r="O73">
        <v>0</v>
      </c>
      <c r="P73">
        <v>0</v>
      </c>
      <c r="Q73">
        <v>0</v>
      </c>
      <c r="R73">
        <v>1400</v>
      </c>
      <c r="S73">
        <v>2500</v>
      </c>
      <c r="T73">
        <v>3900</v>
      </c>
      <c r="U73">
        <v>2000</v>
      </c>
      <c r="V73">
        <v>1000</v>
      </c>
      <c r="W73">
        <v>3000</v>
      </c>
      <c r="X73" t="s">
        <v>1190</v>
      </c>
    </row>
    <row r="74" spans="2:24">
      <c r="B74">
        <v>51</v>
      </c>
      <c r="C74" t="s">
        <v>526</v>
      </c>
      <c r="D74" t="s">
        <v>525</v>
      </c>
      <c r="E74" t="s">
        <v>1191</v>
      </c>
      <c r="G74" t="s">
        <v>1045</v>
      </c>
      <c r="H74">
        <v>5500</v>
      </c>
      <c r="J74">
        <v>5500</v>
      </c>
      <c r="K74" t="s">
        <v>1045</v>
      </c>
      <c r="L74">
        <v>5559</v>
      </c>
      <c r="M74">
        <v>0</v>
      </c>
      <c r="N74">
        <v>5559</v>
      </c>
      <c r="O74">
        <v>0</v>
      </c>
      <c r="P74">
        <v>0</v>
      </c>
      <c r="Q74">
        <v>0</v>
      </c>
      <c r="R74">
        <v>0</v>
      </c>
      <c r="S74">
        <v>0</v>
      </c>
      <c r="T74">
        <v>0</v>
      </c>
      <c r="U74">
        <v>0</v>
      </c>
      <c r="V74">
        <v>0</v>
      </c>
      <c r="W74">
        <v>0</v>
      </c>
      <c r="X74" t="s">
        <v>1056</v>
      </c>
    </row>
    <row r="75" spans="2:24">
      <c r="B75" t="s">
        <v>1192</v>
      </c>
      <c r="C75" t="s">
        <v>526</v>
      </c>
      <c r="D75" t="s">
        <v>525</v>
      </c>
      <c r="E75" t="s">
        <v>1193</v>
      </c>
      <c r="G75" t="s">
        <v>1045</v>
      </c>
      <c r="H75">
        <v>3500</v>
      </c>
      <c r="J75">
        <v>3500</v>
      </c>
      <c r="K75" t="s">
        <v>1045</v>
      </c>
      <c r="L75">
        <v>3500</v>
      </c>
      <c r="N75">
        <v>3500</v>
      </c>
      <c r="O75">
        <v>0</v>
      </c>
      <c r="Q75">
        <v>0</v>
      </c>
      <c r="R75">
        <v>0</v>
      </c>
      <c r="S75">
        <v>0</v>
      </c>
      <c r="T75">
        <v>0</v>
      </c>
      <c r="X75" t="s">
        <v>1194</v>
      </c>
    </row>
    <row r="76" spans="2:24">
      <c r="B76" t="s">
        <v>1195</v>
      </c>
      <c r="C76" t="s">
        <v>526</v>
      </c>
      <c r="D76" t="s">
        <v>525</v>
      </c>
      <c r="E76" t="s">
        <v>1196</v>
      </c>
      <c r="G76" t="s">
        <v>1045</v>
      </c>
      <c r="H76">
        <v>2000</v>
      </c>
      <c r="J76">
        <v>2000</v>
      </c>
      <c r="K76" t="s">
        <v>1045</v>
      </c>
      <c r="L76">
        <v>2059</v>
      </c>
      <c r="N76">
        <v>2059</v>
      </c>
      <c r="Q76">
        <v>0</v>
      </c>
      <c r="R76">
        <v>0</v>
      </c>
      <c r="S76">
        <v>0</v>
      </c>
      <c r="T76">
        <v>0</v>
      </c>
      <c r="U76">
        <v>0</v>
      </c>
      <c r="V76">
        <v>0</v>
      </c>
      <c r="W76">
        <v>0</v>
      </c>
      <c r="X76" t="s">
        <v>1194</v>
      </c>
    </row>
    <row r="77" spans="2:24">
      <c r="B77">
        <v>52</v>
      </c>
      <c r="C77" t="s">
        <v>526</v>
      </c>
      <c r="D77" t="s">
        <v>525</v>
      </c>
      <c r="E77" t="s">
        <v>1197</v>
      </c>
      <c r="G77" t="s">
        <v>1045</v>
      </c>
      <c r="H77">
        <v>700</v>
      </c>
      <c r="J77">
        <v>700</v>
      </c>
      <c r="K77" t="s">
        <v>1045</v>
      </c>
      <c r="L77">
        <v>1250</v>
      </c>
      <c r="N77">
        <v>1250</v>
      </c>
      <c r="O77">
        <v>0</v>
      </c>
      <c r="Q77">
        <v>0</v>
      </c>
      <c r="R77">
        <v>0</v>
      </c>
      <c r="S77">
        <v>0</v>
      </c>
      <c r="T77">
        <v>0</v>
      </c>
      <c r="X77" t="s">
        <v>1194</v>
      </c>
    </row>
    <row r="78" spans="2:24">
      <c r="B78">
        <v>53</v>
      </c>
      <c r="C78" t="s">
        <v>526</v>
      </c>
      <c r="D78" t="s">
        <v>525</v>
      </c>
      <c r="E78" t="s">
        <v>1198</v>
      </c>
      <c r="G78" t="s">
        <v>1045</v>
      </c>
      <c r="H78">
        <v>2000</v>
      </c>
      <c r="J78">
        <v>2000</v>
      </c>
      <c r="K78" t="s">
        <v>1045</v>
      </c>
      <c r="L78">
        <v>1969</v>
      </c>
      <c r="M78">
        <v>0</v>
      </c>
      <c r="N78">
        <v>1969</v>
      </c>
      <c r="O78">
        <v>0</v>
      </c>
      <c r="P78">
        <v>0</v>
      </c>
      <c r="Q78">
        <v>0</v>
      </c>
      <c r="R78">
        <v>0</v>
      </c>
      <c r="S78">
        <v>0</v>
      </c>
      <c r="T78">
        <v>0</v>
      </c>
      <c r="U78">
        <v>0</v>
      </c>
      <c r="V78">
        <v>0</v>
      </c>
      <c r="W78">
        <v>0</v>
      </c>
      <c r="X78" t="s">
        <v>1194</v>
      </c>
    </row>
    <row r="79" spans="2:24">
      <c r="B79">
        <v>54</v>
      </c>
      <c r="C79" t="s">
        <v>656</v>
      </c>
      <c r="D79" t="s">
        <v>525</v>
      </c>
      <c r="E79" t="s">
        <v>1199</v>
      </c>
      <c r="F79" t="s">
        <v>1200</v>
      </c>
      <c r="G79" t="s">
        <v>1045</v>
      </c>
      <c r="H79">
        <v>1000</v>
      </c>
      <c r="J79">
        <v>1000</v>
      </c>
      <c r="K79" t="s">
        <v>1045</v>
      </c>
      <c r="L79">
        <v>916</v>
      </c>
      <c r="M79">
        <v>0</v>
      </c>
      <c r="N79">
        <v>916</v>
      </c>
      <c r="O79">
        <v>0</v>
      </c>
      <c r="P79">
        <v>0</v>
      </c>
      <c r="Q79">
        <v>0</v>
      </c>
      <c r="R79">
        <v>0</v>
      </c>
      <c r="S79">
        <v>0</v>
      </c>
      <c r="T79">
        <v>0</v>
      </c>
      <c r="X79" t="s">
        <v>1201</v>
      </c>
    </row>
    <row r="80" spans="2:24">
      <c r="B80">
        <v>55</v>
      </c>
      <c r="C80" t="s">
        <v>1000</v>
      </c>
      <c r="D80" t="s">
        <v>525</v>
      </c>
      <c r="E80" t="s">
        <v>1202</v>
      </c>
      <c r="G80" t="s">
        <v>1045</v>
      </c>
      <c r="H80">
        <v>1500</v>
      </c>
      <c r="J80">
        <v>1500</v>
      </c>
      <c r="K80" t="s">
        <v>1045</v>
      </c>
      <c r="L80">
        <v>1398</v>
      </c>
      <c r="N80">
        <v>1398</v>
      </c>
      <c r="O80">
        <v>0</v>
      </c>
      <c r="Q80">
        <v>0</v>
      </c>
      <c r="R80">
        <v>0</v>
      </c>
      <c r="S80">
        <v>0</v>
      </c>
      <c r="T80">
        <v>0</v>
      </c>
      <c r="X80" t="s">
        <v>1203</v>
      </c>
    </row>
    <row r="81" spans="2:24">
      <c r="B81">
        <v>56</v>
      </c>
      <c r="C81" t="s">
        <v>1000</v>
      </c>
      <c r="D81" t="s">
        <v>525</v>
      </c>
      <c r="E81" t="s">
        <v>1204</v>
      </c>
      <c r="G81" t="s">
        <v>1045</v>
      </c>
      <c r="H81">
        <v>1000</v>
      </c>
      <c r="J81">
        <v>1000</v>
      </c>
      <c r="K81" t="s">
        <v>1045</v>
      </c>
      <c r="L81">
        <v>950</v>
      </c>
      <c r="N81">
        <v>950</v>
      </c>
      <c r="O81">
        <v>0</v>
      </c>
      <c r="Q81">
        <v>0</v>
      </c>
      <c r="R81">
        <v>0</v>
      </c>
      <c r="S81">
        <v>0</v>
      </c>
      <c r="T81">
        <v>0</v>
      </c>
      <c r="U81">
        <v>0</v>
      </c>
      <c r="V81">
        <v>0</v>
      </c>
      <c r="W81">
        <v>0</v>
      </c>
      <c r="X81" t="s">
        <v>1201</v>
      </c>
    </row>
    <row r="82" spans="2:24">
      <c r="B82">
        <v>57</v>
      </c>
      <c r="C82" t="s">
        <v>656</v>
      </c>
      <c r="D82" t="s">
        <v>525</v>
      </c>
      <c r="E82" t="s">
        <v>1205</v>
      </c>
      <c r="G82" t="s">
        <v>1045</v>
      </c>
      <c r="H82">
        <v>2000</v>
      </c>
      <c r="J82">
        <v>2000</v>
      </c>
      <c r="K82" t="s">
        <v>1045</v>
      </c>
      <c r="M82">
        <v>2000</v>
      </c>
      <c r="N82">
        <v>2000</v>
      </c>
      <c r="P82">
        <v>0</v>
      </c>
      <c r="Q82">
        <v>0</v>
      </c>
      <c r="S82">
        <v>0</v>
      </c>
      <c r="T82">
        <v>0</v>
      </c>
      <c r="X82" t="s">
        <v>1206</v>
      </c>
    </row>
    <row r="83" spans="2:24">
      <c r="B83">
        <v>58</v>
      </c>
      <c r="C83" t="s">
        <v>526</v>
      </c>
      <c r="D83" t="s">
        <v>525</v>
      </c>
      <c r="E83" t="s">
        <v>1207</v>
      </c>
      <c r="F83" t="s">
        <v>1208</v>
      </c>
      <c r="G83" t="s">
        <v>1045</v>
      </c>
      <c r="H83">
        <v>3000</v>
      </c>
      <c r="J83">
        <v>3000</v>
      </c>
      <c r="K83" t="s">
        <v>1045</v>
      </c>
      <c r="M83">
        <v>3000</v>
      </c>
      <c r="N83">
        <v>3000</v>
      </c>
      <c r="Q83">
        <v>0</v>
      </c>
      <c r="R83">
        <v>0</v>
      </c>
      <c r="S83">
        <v>0</v>
      </c>
      <c r="T83">
        <v>0</v>
      </c>
      <c r="X83" t="s">
        <v>1209</v>
      </c>
    </row>
    <row r="84" spans="2:24">
      <c r="B84">
        <v>59</v>
      </c>
      <c r="C84" t="s">
        <v>526</v>
      </c>
      <c r="D84" t="s">
        <v>525</v>
      </c>
      <c r="E84" t="s">
        <v>1210</v>
      </c>
      <c r="G84" t="s">
        <v>1211</v>
      </c>
      <c r="H84">
        <v>10500</v>
      </c>
      <c r="J84">
        <v>10500</v>
      </c>
      <c r="L84">
        <v>0</v>
      </c>
      <c r="M84">
        <v>10500</v>
      </c>
      <c r="N84">
        <v>10500</v>
      </c>
      <c r="O84">
        <v>0</v>
      </c>
      <c r="P84">
        <v>0</v>
      </c>
      <c r="Q84">
        <v>0</v>
      </c>
      <c r="R84">
        <v>0</v>
      </c>
      <c r="S84">
        <v>0</v>
      </c>
      <c r="T84">
        <v>0</v>
      </c>
    </row>
    <row r="85" spans="2:24">
      <c r="B85" t="s">
        <v>1212</v>
      </c>
      <c r="C85" t="s">
        <v>526</v>
      </c>
      <c r="D85" t="s">
        <v>525</v>
      </c>
      <c r="E85" t="s">
        <v>1207</v>
      </c>
      <c r="F85" t="s">
        <v>1213</v>
      </c>
      <c r="G85" t="s">
        <v>1211</v>
      </c>
      <c r="H85">
        <v>4500</v>
      </c>
      <c r="J85">
        <v>4500</v>
      </c>
      <c r="K85" t="s">
        <v>1214</v>
      </c>
      <c r="M85">
        <v>4500</v>
      </c>
      <c r="N85">
        <v>4500</v>
      </c>
      <c r="Q85">
        <v>0</v>
      </c>
      <c r="R85">
        <v>0</v>
      </c>
      <c r="S85">
        <v>0</v>
      </c>
      <c r="T85">
        <v>0</v>
      </c>
      <c r="X85" t="s">
        <v>1215</v>
      </c>
    </row>
    <row r="86" spans="2:24">
      <c r="B86" t="s">
        <v>1216</v>
      </c>
      <c r="C86" t="s">
        <v>526</v>
      </c>
      <c r="D86" t="s">
        <v>525</v>
      </c>
      <c r="E86" t="s">
        <v>1217</v>
      </c>
      <c r="F86" t="s">
        <v>1218</v>
      </c>
      <c r="G86" t="s">
        <v>1211</v>
      </c>
      <c r="H86">
        <v>3000</v>
      </c>
      <c r="J86">
        <v>3000</v>
      </c>
      <c r="K86" t="s">
        <v>1219</v>
      </c>
      <c r="M86">
        <v>3000</v>
      </c>
      <c r="N86">
        <v>3000</v>
      </c>
      <c r="Q86">
        <v>0</v>
      </c>
      <c r="R86">
        <v>0</v>
      </c>
      <c r="S86">
        <v>0</v>
      </c>
      <c r="T86">
        <v>0</v>
      </c>
    </row>
    <row r="87" spans="2:24">
      <c r="B87" t="s">
        <v>1220</v>
      </c>
      <c r="C87" t="s">
        <v>526</v>
      </c>
      <c r="D87" t="s">
        <v>525</v>
      </c>
      <c r="E87" t="s">
        <v>1221</v>
      </c>
      <c r="F87" t="s">
        <v>1222</v>
      </c>
      <c r="G87" t="s">
        <v>1211</v>
      </c>
      <c r="H87">
        <v>3000</v>
      </c>
      <c r="J87">
        <v>3000</v>
      </c>
      <c r="K87" t="s">
        <v>1223</v>
      </c>
      <c r="M87">
        <v>3000</v>
      </c>
      <c r="N87">
        <v>3000</v>
      </c>
      <c r="Q87">
        <v>0</v>
      </c>
      <c r="R87">
        <v>0</v>
      </c>
      <c r="S87">
        <v>0</v>
      </c>
      <c r="T87">
        <v>0</v>
      </c>
    </row>
    <row r="88" spans="2:24">
      <c r="B88">
        <v>60</v>
      </c>
      <c r="C88" t="s">
        <v>1000</v>
      </c>
      <c r="D88" t="s">
        <v>525</v>
      </c>
      <c r="E88" t="s">
        <v>1224</v>
      </c>
      <c r="G88" t="s">
        <v>1211</v>
      </c>
      <c r="H88">
        <v>0</v>
      </c>
      <c r="J88">
        <v>0</v>
      </c>
      <c r="K88" t="s">
        <v>1225</v>
      </c>
      <c r="L88">
        <v>0</v>
      </c>
      <c r="N88">
        <v>0</v>
      </c>
      <c r="Q88">
        <v>0</v>
      </c>
      <c r="R88">
        <v>0</v>
      </c>
      <c r="S88">
        <v>0</v>
      </c>
      <c r="T88">
        <v>0</v>
      </c>
      <c r="X88" t="s">
        <v>1226</v>
      </c>
    </row>
    <row r="89" spans="2:24">
      <c r="B89">
        <v>61</v>
      </c>
      <c r="C89" t="s">
        <v>656</v>
      </c>
      <c r="D89" t="s">
        <v>525</v>
      </c>
      <c r="E89" t="s">
        <v>1199</v>
      </c>
      <c r="F89" t="s">
        <v>1227</v>
      </c>
      <c r="G89" t="s">
        <v>1211</v>
      </c>
      <c r="H89">
        <v>1000</v>
      </c>
      <c r="J89">
        <v>1000</v>
      </c>
      <c r="K89" t="s">
        <v>1228</v>
      </c>
      <c r="L89">
        <v>835</v>
      </c>
      <c r="M89">
        <v>1022</v>
      </c>
      <c r="N89">
        <v>1856</v>
      </c>
      <c r="O89">
        <v>0</v>
      </c>
      <c r="P89">
        <v>200</v>
      </c>
      <c r="Q89">
        <v>200</v>
      </c>
      <c r="R89">
        <v>150</v>
      </c>
      <c r="S89">
        <v>78</v>
      </c>
      <c r="T89">
        <v>228</v>
      </c>
      <c r="X89" t="s">
        <v>1229</v>
      </c>
    </row>
    <row r="90" spans="2:24">
      <c r="B90">
        <v>62</v>
      </c>
      <c r="C90" t="s">
        <v>526</v>
      </c>
      <c r="D90" t="s">
        <v>525</v>
      </c>
      <c r="E90" t="s">
        <v>1210</v>
      </c>
      <c r="G90" t="s">
        <v>1068</v>
      </c>
      <c r="H90">
        <v>9000</v>
      </c>
      <c r="J90">
        <v>9000</v>
      </c>
      <c r="L90">
        <v>0</v>
      </c>
      <c r="M90">
        <v>9000</v>
      </c>
      <c r="N90">
        <v>9000</v>
      </c>
      <c r="O90">
        <v>0</v>
      </c>
      <c r="P90">
        <v>0</v>
      </c>
      <c r="Q90">
        <v>0</v>
      </c>
      <c r="R90">
        <v>0</v>
      </c>
      <c r="S90">
        <v>0</v>
      </c>
      <c r="T90">
        <v>0</v>
      </c>
      <c r="X90" t="s">
        <v>1230</v>
      </c>
    </row>
    <row r="91" spans="2:24">
      <c r="B91" t="s">
        <v>1231</v>
      </c>
      <c r="C91" t="s">
        <v>526</v>
      </c>
      <c r="D91" t="s">
        <v>525</v>
      </c>
      <c r="E91" t="s">
        <v>1207</v>
      </c>
      <c r="F91" t="s">
        <v>1222</v>
      </c>
      <c r="G91" t="s">
        <v>1068</v>
      </c>
      <c r="H91">
        <v>1500</v>
      </c>
      <c r="J91">
        <v>1500</v>
      </c>
      <c r="K91" t="s">
        <v>1232</v>
      </c>
      <c r="M91">
        <v>1500</v>
      </c>
      <c r="N91">
        <v>1500</v>
      </c>
      <c r="Q91">
        <v>0</v>
      </c>
      <c r="R91">
        <v>0</v>
      </c>
      <c r="S91">
        <v>0</v>
      </c>
      <c r="T91">
        <v>0</v>
      </c>
      <c r="X91" t="s">
        <v>1233</v>
      </c>
    </row>
    <row r="92" spans="2:24">
      <c r="B92" t="s">
        <v>1234</v>
      </c>
      <c r="C92" t="s">
        <v>526</v>
      </c>
      <c r="D92" t="s">
        <v>525</v>
      </c>
      <c r="E92" t="s">
        <v>1217</v>
      </c>
      <c r="F92" t="s">
        <v>1218</v>
      </c>
      <c r="G92" t="s">
        <v>1068</v>
      </c>
      <c r="H92">
        <v>6000</v>
      </c>
      <c r="J92">
        <v>6000</v>
      </c>
      <c r="K92" t="s">
        <v>1235</v>
      </c>
      <c r="M92">
        <v>6000</v>
      </c>
      <c r="N92">
        <v>6000</v>
      </c>
      <c r="P92">
        <v>0</v>
      </c>
      <c r="Q92">
        <v>0</v>
      </c>
      <c r="R92">
        <v>0</v>
      </c>
      <c r="S92">
        <v>0</v>
      </c>
      <c r="T92">
        <v>0</v>
      </c>
    </row>
    <row r="93" spans="2:24">
      <c r="B93" t="s">
        <v>1236</v>
      </c>
      <c r="C93" t="s">
        <v>526</v>
      </c>
      <c r="D93" t="s">
        <v>525</v>
      </c>
      <c r="E93" t="s">
        <v>1221</v>
      </c>
      <c r="F93" t="s">
        <v>1222</v>
      </c>
      <c r="G93" t="s">
        <v>1068</v>
      </c>
      <c r="H93">
        <v>1500</v>
      </c>
      <c r="J93">
        <v>1500</v>
      </c>
      <c r="K93" t="s">
        <v>1237</v>
      </c>
      <c r="M93">
        <v>1500</v>
      </c>
      <c r="N93">
        <v>1500</v>
      </c>
      <c r="P93">
        <v>0</v>
      </c>
      <c r="Q93">
        <v>0</v>
      </c>
      <c r="R93">
        <v>0</v>
      </c>
      <c r="S93">
        <v>0</v>
      </c>
      <c r="T93">
        <v>0</v>
      </c>
      <c r="X93" t="s">
        <v>1238</v>
      </c>
    </row>
    <row r="94" spans="2:24">
      <c r="B94">
        <v>63</v>
      </c>
      <c r="C94" t="s">
        <v>526</v>
      </c>
      <c r="D94" t="s">
        <v>525</v>
      </c>
      <c r="E94" t="s">
        <v>1193</v>
      </c>
      <c r="G94" t="s">
        <v>1068</v>
      </c>
      <c r="H94">
        <v>500</v>
      </c>
      <c r="J94">
        <v>500</v>
      </c>
      <c r="K94" t="s">
        <v>1239</v>
      </c>
      <c r="L94">
        <v>464</v>
      </c>
      <c r="N94">
        <v>464</v>
      </c>
      <c r="O94">
        <v>0</v>
      </c>
      <c r="Q94">
        <v>0</v>
      </c>
      <c r="R94">
        <v>0</v>
      </c>
      <c r="S94">
        <v>0</v>
      </c>
      <c r="T94">
        <v>0</v>
      </c>
      <c r="X94" t="s">
        <v>1240</v>
      </c>
    </row>
    <row r="95" spans="2:24">
      <c r="B95">
        <v>64</v>
      </c>
      <c r="C95" t="s">
        <v>526</v>
      </c>
      <c r="D95" t="s">
        <v>525</v>
      </c>
      <c r="E95" t="s">
        <v>1241</v>
      </c>
      <c r="G95" t="s">
        <v>1068</v>
      </c>
      <c r="H95">
        <v>1000</v>
      </c>
      <c r="J95">
        <v>1000</v>
      </c>
      <c r="K95" t="s">
        <v>1242</v>
      </c>
      <c r="L95">
        <v>950</v>
      </c>
      <c r="M95">
        <v>0</v>
      </c>
      <c r="N95">
        <v>950</v>
      </c>
      <c r="O95">
        <v>0</v>
      </c>
      <c r="Q95">
        <v>0</v>
      </c>
      <c r="R95">
        <v>0</v>
      </c>
      <c r="S95">
        <v>0</v>
      </c>
      <c r="T95">
        <v>0</v>
      </c>
      <c r="U95">
        <v>0</v>
      </c>
      <c r="V95">
        <v>0</v>
      </c>
      <c r="W95">
        <v>0</v>
      </c>
      <c r="X95" t="s">
        <v>1243</v>
      </c>
    </row>
    <row r="96" spans="2:24">
      <c r="B96">
        <v>65</v>
      </c>
      <c r="C96" t="s">
        <v>656</v>
      </c>
      <c r="D96" t="s">
        <v>525</v>
      </c>
      <c r="E96" t="s">
        <v>628</v>
      </c>
      <c r="G96" t="s">
        <v>1068</v>
      </c>
      <c r="H96">
        <v>1000</v>
      </c>
      <c r="J96">
        <v>1000</v>
      </c>
      <c r="K96" t="s">
        <v>1244</v>
      </c>
      <c r="M96">
        <v>800</v>
      </c>
      <c r="N96">
        <v>800</v>
      </c>
      <c r="P96">
        <v>0</v>
      </c>
      <c r="Q96">
        <v>0</v>
      </c>
      <c r="S96">
        <v>200</v>
      </c>
      <c r="T96">
        <v>200</v>
      </c>
      <c r="X96" t="s">
        <v>1245</v>
      </c>
    </row>
    <row r="97" spans="2:24">
      <c r="B97">
        <v>66</v>
      </c>
      <c r="C97" t="s">
        <v>526</v>
      </c>
      <c r="D97" t="s">
        <v>525</v>
      </c>
      <c r="E97" t="s">
        <v>1210</v>
      </c>
      <c r="G97" t="s">
        <v>1150</v>
      </c>
      <c r="H97">
        <v>7500</v>
      </c>
      <c r="J97">
        <v>7500</v>
      </c>
      <c r="L97">
        <v>0</v>
      </c>
      <c r="M97">
        <v>19390</v>
      </c>
      <c r="N97">
        <v>19390</v>
      </c>
      <c r="O97">
        <v>0</v>
      </c>
      <c r="P97">
        <v>1600</v>
      </c>
      <c r="Q97">
        <v>1600</v>
      </c>
      <c r="R97">
        <v>0</v>
      </c>
      <c r="S97">
        <v>0</v>
      </c>
      <c r="T97">
        <v>0</v>
      </c>
      <c r="U97">
        <v>0</v>
      </c>
      <c r="V97">
        <v>0</v>
      </c>
      <c r="W97">
        <v>0</v>
      </c>
      <c r="X97" t="s">
        <v>1230</v>
      </c>
    </row>
    <row r="98" spans="2:24">
      <c r="B98" t="s">
        <v>1246</v>
      </c>
      <c r="C98" t="s">
        <v>526</v>
      </c>
      <c r="D98" t="s">
        <v>525</v>
      </c>
      <c r="E98" t="s">
        <v>1207</v>
      </c>
      <c r="F98" t="s">
        <v>1222</v>
      </c>
      <c r="G98" t="s">
        <v>1150</v>
      </c>
      <c r="H98">
        <v>1500</v>
      </c>
      <c r="J98">
        <v>1500</v>
      </c>
      <c r="K98" t="s">
        <v>1247</v>
      </c>
      <c r="M98">
        <v>1500</v>
      </c>
      <c r="N98">
        <v>1500</v>
      </c>
      <c r="O98">
        <v>0</v>
      </c>
      <c r="P98">
        <v>0</v>
      </c>
      <c r="Q98">
        <v>0</v>
      </c>
      <c r="R98">
        <v>0</v>
      </c>
      <c r="S98">
        <v>0</v>
      </c>
      <c r="T98">
        <v>0</v>
      </c>
      <c r="U98">
        <v>0</v>
      </c>
      <c r="V98">
        <v>0</v>
      </c>
      <c r="W98">
        <v>0</v>
      </c>
      <c r="X98" t="s">
        <v>1248</v>
      </c>
    </row>
    <row r="99" spans="2:24">
      <c r="B99" t="s">
        <v>1249</v>
      </c>
      <c r="C99" t="s">
        <v>526</v>
      </c>
      <c r="D99" t="s">
        <v>525</v>
      </c>
      <c r="E99" t="s">
        <v>1217</v>
      </c>
      <c r="F99" t="s">
        <v>1218</v>
      </c>
      <c r="G99" t="s">
        <v>1150</v>
      </c>
      <c r="H99">
        <v>1500</v>
      </c>
      <c r="J99">
        <v>1500</v>
      </c>
      <c r="K99" t="s">
        <v>1250</v>
      </c>
      <c r="M99">
        <v>250</v>
      </c>
      <c r="N99">
        <v>250</v>
      </c>
      <c r="P99">
        <v>1250</v>
      </c>
      <c r="Q99">
        <v>1250</v>
      </c>
      <c r="R99">
        <v>0</v>
      </c>
      <c r="S99">
        <v>0</v>
      </c>
      <c r="T99">
        <v>0</v>
      </c>
      <c r="V99">
        <v>0</v>
      </c>
      <c r="W99">
        <v>0</v>
      </c>
    </row>
    <row r="100" spans="2:24">
      <c r="B100" t="s">
        <v>1251</v>
      </c>
      <c r="C100" t="s">
        <v>526</v>
      </c>
      <c r="D100" t="s">
        <v>525</v>
      </c>
      <c r="E100" t="s">
        <v>1221</v>
      </c>
      <c r="F100" t="s">
        <v>1218</v>
      </c>
      <c r="G100" t="s">
        <v>1150</v>
      </c>
      <c r="H100">
        <v>4500</v>
      </c>
      <c r="J100">
        <v>4500</v>
      </c>
      <c r="K100" t="s">
        <v>1252</v>
      </c>
      <c r="M100">
        <v>5140</v>
      </c>
      <c r="N100">
        <v>5140</v>
      </c>
      <c r="P100">
        <v>0</v>
      </c>
      <c r="Q100">
        <v>0</v>
      </c>
      <c r="R100">
        <v>0</v>
      </c>
      <c r="S100">
        <v>0</v>
      </c>
      <c r="T100">
        <v>0</v>
      </c>
      <c r="V100">
        <v>0</v>
      </c>
      <c r="W100">
        <v>0</v>
      </c>
    </row>
    <row r="101" spans="2:24">
      <c r="B101" t="s">
        <v>1253</v>
      </c>
      <c r="C101" t="s">
        <v>526</v>
      </c>
      <c r="D101" t="s">
        <v>525</v>
      </c>
      <c r="E101" t="s">
        <v>1254</v>
      </c>
      <c r="F101" t="s">
        <v>1218</v>
      </c>
      <c r="G101" t="s">
        <v>1150</v>
      </c>
      <c r="H101">
        <v>0</v>
      </c>
      <c r="J101">
        <v>8750</v>
      </c>
      <c r="K101" t="s">
        <v>1255</v>
      </c>
      <c r="M101">
        <v>8750</v>
      </c>
      <c r="N101">
        <v>8750</v>
      </c>
      <c r="P101">
        <v>0</v>
      </c>
      <c r="Q101">
        <v>0</v>
      </c>
      <c r="R101">
        <v>0</v>
      </c>
      <c r="S101">
        <v>0</v>
      </c>
      <c r="T101">
        <v>0</v>
      </c>
      <c r="U101">
        <v>0</v>
      </c>
      <c r="V101">
        <v>0</v>
      </c>
      <c r="W101">
        <v>0</v>
      </c>
      <c r="X101" t="s">
        <v>1256</v>
      </c>
    </row>
    <row r="102" spans="2:24">
      <c r="B102" t="s">
        <v>1257</v>
      </c>
      <c r="C102" t="s">
        <v>526</v>
      </c>
      <c r="D102" t="s">
        <v>525</v>
      </c>
      <c r="E102" t="s">
        <v>1258</v>
      </c>
      <c r="F102" t="s">
        <v>1222</v>
      </c>
      <c r="G102" t="s">
        <v>1150</v>
      </c>
      <c r="H102">
        <v>0</v>
      </c>
      <c r="J102">
        <v>3750</v>
      </c>
      <c r="K102" t="s">
        <v>1255</v>
      </c>
      <c r="M102">
        <v>3750</v>
      </c>
      <c r="N102">
        <v>3750</v>
      </c>
      <c r="P102">
        <v>350</v>
      </c>
      <c r="Q102">
        <v>350</v>
      </c>
      <c r="R102">
        <v>0</v>
      </c>
      <c r="S102">
        <v>0</v>
      </c>
      <c r="T102">
        <v>0</v>
      </c>
      <c r="U102">
        <v>0</v>
      </c>
      <c r="V102">
        <v>0</v>
      </c>
      <c r="W102">
        <v>0</v>
      </c>
      <c r="X102" t="s">
        <v>1259</v>
      </c>
    </row>
    <row r="103" spans="2:24">
      <c r="B103">
        <v>67</v>
      </c>
      <c r="C103" t="s">
        <v>656</v>
      </c>
      <c r="D103" t="s">
        <v>525</v>
      </c>
      <c r="E103" t="s">
        <v>1205</v>
      </c>
      <c r="F103" t="s">
        <v>1260</v>
      </c>
      <c r="G103" t="s">
        <v>1150</v>
      </c>
      <c r="H103">
        <v>1500</v>
      </c>
      <c r="J103">
        <v>1500</v>
      </c>
      <c r="K103" t="s">
        <v>1261</v>
      </c>
      <c r="L103">
        <v>2450</v>
      </c>
      <c r="M103">
        <v>800</v>
      </c>
      <c r="N103">
        <v>3250</v>
      </c>
      <c r="P103">
        <v>2207</v>
      </c>
      <c r="Q103">
        <v>2207</v>
      </c>
      <c r="R103">
        <v>0</v>
      </c>
      <c r="S103">
        <v>0</v>
      </c>
      <c r="T103">
        <v>0</v>
      </c>
      <c r="U103">
        <v>0</v>
      </c>
      <c r="V103">
        <v>0</v>
      </c>
      <c r="W103">
        <v>0</v>
      </c>
      <c r="X103" t="s">
        <v>1262</v>
      </c>
    </row>
    <row r="104" spans="2:24">
      <c r="B104">
        <v>68</v>
      </c>
      <c r="C104" t="s">
        <v>1000</v>
      </c>
      <c r="D104" t="s">
        <v>525</v>
      </c>
      <c r="E104" t="s">
        <v>1202</v>
      </c>
      <c r="G104" t="s">
        <v>1150</v>
      </c>
      <c r="H104">
        <v>2000</v>
      </c>
      <c r="J104">
        <v>2000</v>
      </c>
      <c r="K104" t="s">
        <v>1263</v>
      </c>
      <c r="L104">
        <v>2602</v>
      </c>
      <c r="N104">
        <v>2602</v>
      </c>
      <c r="O104">
        <v>0</v>
      </c>
      <c r="Q104">
        <v>0</v>
      </c>
      <c r="R104">
        <v>0</v>
      </c>
      <c r="S104">
        <v>0</v>
      </c>
      <c r="T104">
        <v>0</v>
      </c>
      <c r="U104">
        <v>0</v>
      </c>
      <c r="V104">
        <v>0</v>
      </c>
      <c r="W104">
        <v>0</v>
      </c>
      <c r="X104" t="s">
        <v>1264</v>
      </c>
    </row>
    <row r="105" spans="2:24">
      <c r="B105">
        <v>69</v>
      </c>
      <c r="C105" t="s">
        <v>1000</v>
      </c>
      <c r="D105" t="s">
        <v>525</v>
      </c>
      <c r="E105" t="s">
        <v>1265</v>
      </c>
      <c r="G105" t="s">
        <v>1150</v>
      </c>
      <c r="H105">
        <v>2000</v>
      </c>
      <c r="J105">
        <v>2000</v>
      </c>
      <c r="K105" t="s">
        <v>1266</v>
      </c>
      <c r="L105">
        <v>2998</v>
      </c>
      <c r="M105">
        <v>1500</v>
      </c>
      <c r="N105">
        <v>4498</v>
      </c>
      <c r="P105">
        <v>2484</v>
      </c>
      <c r="Q105">
        <v>2484</v>
      </c>
      <c r="R105">
        <v>0</v>
      </c>
      <c r="S105">
        <v>0</v>
      </c>
      <c r="T105">
        <v>0</v>
      </c>
      <c r="U105">
        <v>0</v>
      </c>
      <c r="V105">
        <v>0</v>
      </c>
      <c r="W105">
        <v>0</v>
      </c>
      <c r="X105" t="s">
        <v>1267</v>
      </c>
    </row>
    <row r="106" spans="2:24">
      <c r="B106">
        <v>70</v>
      </c>
      <c r="C106" t="s">
        <v>656</v>
      </c>
      <c r="D106" t="s">
        <v>525</v>
      </c>
      <c r="E106" t="s">
        <v>1268</v>
      </c>
      <c r="G106" t="s">
        <v>1150</v>
      </c>
      <c r="H106">
        <v>2000</v>
      </c>
      <c r="J106">
        <v>2000</v>
      </c>
      <c r="K106" t="s">
        <v>1263</v>
      </c>
      <c r="L106">
        <v>1976</v>
      </c>
      <c r="N106">
        <v>1976</v>
      </c>
      <c r="O106">
        <v>2245</v>
      </c>
      <c r="Q106">
        <v>2245</v>
      </c>
      <c r="R106">
        <v>0</v>
      </c>
      <c r="S106">
        <v>0</v>
      </c>
      <c r="T106">
        <v>0</v>
      </c>
      <c r="U106">
        <v>0</v>
      </c>
      <c r="V106">
        <v>0</v>
      </c>
      <c r="W106">
        <v>0</v>
      </c>
      <c r="X106" t="s">
        <v>1269</v>
      </c>
    </row>
    <row r="107" spans="2:24">
      <c r="B107">
        <v>71</v>
      </c>
      <c r="C107" t="s">
        <v>526</v>
      </c>
      <c r="D107" t="s">
        <v>525</v>
      </c>
      <c r="E107" t="s">
        <v>1270</v>
      </c>
      <c r="G107" t="s">
        <v>1150</v>
      </c>
      <c r="H107">
        <v>1000</v>
      </c>
      <c r="J107">
        <v>1000</v>
      </c>
      <c r="K107" t="s">
        <v>1271</v>
      </c>
      <c r="L107">
        <v>1000</v>
      </c>
      <c r="M107">
        <v>0</v>
      </c>
      <c r="N107">
        <v>1000</v>
      </c>
      <c r="O107">
        <v>956</v>
      </c>
      <c r="P107">
        <v>0</v>
      </c>
      <c r="Q107">
        <v>956</v>
      </c>
      <c r="R107">
        <v>0</v>
      </c>
      <c r="S107">
        <v>0</v>
      </c>
      <c r="T107">
        <v>0</v>
      </c>
      <c r="U107">
        <v>0</v>
      </c>
      <c r="V107">
        <v>0</v>
      </c>
      <c r="W107">
        <v>0</v>
      </c>
      <c r="X107" t="s">
        <v>1272</v>
      </c>
    </row>
    <row r="108" spans="2:24">
      <c r="B108">
        <v>72</v>
      </c>
      <c r="C108" t="s">
        <v>526</v>
      </c>
      <c r="D108" t="s">
        <v>525</v>
      </c>
      <c r="E108" t="s">
        <v>1273</v>
      </c>
      <c r="G108" t="s">
        <v>1150</v>
      </c>
      <c r="H108">
        <v>2000</v>
      </c>
      <c r="J108">
        <v>2000</v>
      </c>
      <c r="K108" t="s">
        <v>1266</v>
      </c>
      <c r="L108">
        <v>2550</v>
      </c>
      <c r="M108">
        <v>0</v>
      </c>
      <c r="N108">
        <v>2550</v>
      </c>
      <c r="O108">
        <v>0</v>
      </c>
      <c r="Q108">
        <v>0</v>
      </c>
      <c r="R108">
        <v>0</v>
      </c>
      <c r="T108">
        <v>0</v>
      </c>
      <c r="W108">
        <v>0</v>
      </c>
      <c r="X108" t="s">
        <v>1274</v>
      </c>
    </row>
    <row r="109" spans="2:24">
      <c r="B109">
        <v>73</v>
      </c>
      <c r="C109" t="s">
        <v>526</v>
      </c>
      <c r="D109" t="s">
        <v>525</v>
      </c>
      <c r="E109" t="s">
        <v>1275</v>
      </c>
      <c r="G109" t="s">
        <v>1150</v>
      </c>
      <c r="H109">
        <v>2000</v>
      </c>
      <c r="J109">
        <v>2000</v>
      </c>
      <c r="K109" t="s">
        <v>1255</v>
      </c>
      <c r="L109">
        <v>3500</v>
      </c>
      <c r="M109">
        <v>1000</v>
      </c>
      <c r="N109">
        <v>4500</v>
      </c>
      <c r="P109">
        <v>450</v>
      </c>
      <c r="Q109">
        <v>450</v>
      </c>
      <c r="R109">
        <v>0</v>
      </c>
      <c r="S109">
        <v>0</v>
      </c>
      <c r="T109">
        <v>0</v>
      </c>
      <c r="W109">
        <v>0</v>
      </c>
      <c r="X109" t="s">
        <v>1276</v>
      </c>
    </row>
    <row r="110" spans="2:24">
      <c r="B110">
        <v>74</v>
      </c>
      <c r="C110" t="s">
        <v>526</v>
      </c>
      <c r="D110" t="s">
        <v>525</v>
      </c>
      <c r="E110" t="s">
        <v>1277</v>
      </c>
      <c r="F110" t="s">
        <v>1278</v>
      </c>
      <c r="G110" t="s">
        <v>1150</v>
      </c>
      <c r="H110">
        <v>3000</v>
      </c>
      <c r="J110">
        <v>3000</v>
      </c>
      <c r="K110" t="s">
        <v>1279</v>
      </c>
      <c r="L110">
        <v>650</v>
      </c>
      <c r="M110">
        <v>2800</v>
      </c>
      <c r="N110">
        <v>3450</v>
      </c>
      <c r="O110">
        <v>1105</v>
      </c>
      <c r="P110">
        <v>5112</v>
      </c>
      <c r="Q110">
        <v>6217</v>
      </c>
      <c r="S110">
        <v>0</v>
      </c>
      <c r="T110">
        <v>0</v>
      </c>
      <c r="W110">
        <v>0</v>
      </c>
      <c r="X110" t="s">
        <v>1280</v>
      </c>
    </row>
    <row r="111" spans="2:24">
      <c r="B111">
        <v>75</v>
      </c>
      <c r="C111" t="s">
        <v>526</v>
      </c>
      <c r="D111" t="s">
        <v>525</v>
      </c>
      <c r="E111" t="s">
        <v>1196</v>
      </c>
      <c r="G111" t="s">
        <v>1150</v>
      </c>
      <c r="H111">
        <v>0</v>
      </c>
      <c r="J111">
        <v>0</v>
      </c>
      <c r="K111" t="s">
        <v>1281</v>
      </c>
      <c r="L111">
        <v>1442</v>
      </c>
      <c r="N111">
        <v>1442</v>
      </c>
      <c r="O111">
        <v>0</v>
      </c>
      <c r="P111">
        <v>2759</v>
      </c>
      <c r="Q111">
        <v>2759</v>
      </c>
      <c r="S111">
        <v>0</v>
      </c>
      <c r="T111">
        <v>0</v>
      </c>
      <c r="U111">
        <v>0</v>
      </c>
      <c r="V111">
        <v>0</v>
      </c>
      <c r="W111">
        <v>0</v>
      </c>
      <c r="X111" t="s">
        <v>1282</v>
      </c>
    </row>
    <row r="112" spans="2:24">
      <c r="B112">
        <v>76</v>
      </c>
      <c r="C112" t="s">
        <v>526</v>
      </c>
      <c r="D112" t="s">
        <v>525</v>
      </c>
      <c r="E112" t="s">
        <v>1198</v>
      </c>
      <c r="G112" t="s">
        <v>1150</v>
      </c>
      <c r="H112">
        <v>1000</v>
      </c>
      <c r="J112">
        <v>1000</v>
      </c>
      <c r="K112" t="s">
        <v>1185</v>
      </c>
      <c r="L112">
        <v>1031</v>
      </c>
      <c r="M112">
        <v>951</v>
      </c>
      <c r="N112">
        <v>1982</v>
      </c>
      <c r="O112">
        <v>0</v>
      </c>
      <c r="P112">
        <v>0</v>
      </c>
      <c r="Q112">
        <v>0</v>
      </c>
      <c r="R112">
        <v>0</v>
      </c>
      <c r="S112">
        <v>0</v>
      </c>
      <c r="T112">
        <v>0</v>
      </c>
      <c r="U112">
        <v>0</v>
      </c>
      <c r="V112">
        <v>0</v>
      </c>
      <c r="W112">
        <v>0</v>
      </c>
      <c r="X112" t="s">
        <v>1283</v>
      </c>
    </row>
    <row r="113" spans="2:24">
      <c r="B113">
        <v>77</v>
      </c>
      <c r="C113" t="s">
        <v>1000</v>
      </c>
      <c r="D113" t="s">
        <v>525</v>
      </c>
      <c r="E113" t="s">
        <v>1284</v>
      </c>
      <c r="G113" t="s">
        <v>1150</v>
      </c>
      <c r="H113">
        <v>0</v>
      </c>
      <c r="J113">
        <v>0</v>
      </c>
      <c r="K113" t="s">
        <v>1138</v>
      </c>
      <c r="L113">
        <v>0</v>
      </c>
      <c r="M113">
        <v>650</v>
      </c>
      <c r="N113">
        <v>650</v>
      </c>
      <c r="P113">
        <v>630</v>
      </c>
      <c r="Q113">
        <v>630</v>
      </c>
      <c r="S113">
        <v>0</v>
      </c>
      <c r="T113">
        <v>0</v>
      </c>
      <c r="W113">
        <v>0</v>
      </c>
      <c r="X113" t="s">
        <v>1285</v>
      </c>
    </row>
    <row r="114" spans="2:24">
      <c r="B114">
        <v>78</v>
      </c>
      <c r="C114" t="s">
        <v>1000</v>
      </c>
      <c r="D114" t="s">
        <v>525</v>
      </c>
      <c r="E114" t="s">
        <v>1286</v>
      </c>
      <c r="G114" t="s">
        <v>1150</v>
      </c>
      <c r="H114">
        <v>0</v>
      </c>
      <c r="J114">
        <v>0</v>
      </c>
      <c r="K114" t="s">
        <v>1174</v>
      </c>
      <c r="L114">
        <v>0</v>
      </c>
      <c r="N114">
        <v>0</v>
      </c>
      <c r="P114">
        <v>950</v>
      </c>
      <c r="Q114">
        <v>950</v>
      </c>
      <c r="T114">
        <v>0</v>
      </c>
      <c r="U114">
        <v>350</v>
      </c>
      <c r="W114">
        <v>350</v>
      </c>
      <c r="X114" t="s">
        <v>1287</v>
      </c>
    </row>
    <row r="115" spans="2:24">
      <c r="B115">
        <v>79</v>
      </c>
      <c r="C115" t="s">
        <v>1000</v>
      </c>
      <c r="D115" t="s">
        <v>525</v>
      </c>
      <c r="E115" t="s">
        <v>1204</v>
      </c>
      <c r="G115" t="s">
        <v>1150</v>
      </c>
      <c r="H115">
        <v>0</v>
      </c>
      <c r="J115">
        <v>0</v>
      </c>
      <c r="K115" t="s">
        <v>1255</v>
      </c>
      <c r="L115">
        <v>1050</v>
      </c>
      <c r="N115">
        <v>1050</v>
      </c>
      <c r="O115">
        <v>0</v>
      </c>
      <c r="P115">
        <v>0</v>
      </c>
      <c r="Q115">
        <v>0</v>
      </c>
      <c r="R115">
        <v>0</v>
      </c>
      <c r="S115">
        <v>0</v>
      </c>
      <c r="T115">
        <v>0</v>
      </c>
      <c r="U115">
        <v>0</v>
      </c>
      <c r="V115">
        <v>0</v>
      </c>
      <c r="W115">
        <v>0</v>
      </c>
      <c r="X115" t="s">
        <v>1288</v>
      </c>
    </row>
    <row r="116" spans="2:24">
      <c r="B116">
        <v>80</v>
      </c>
      <c r="C116" t="s">
        <v>526</v>
      </c>
      <c r="D116" t="s">
        <v>525</v>
      </c>
      <c r="E116" t="s">
        <v>1289</v>
      </c>
      <c r="F116" t="s">
        <v>1290</v>
      </c>
      <c r="G116" t="s">
        <v>1150</v>
      </c>
      <c r="H116">
        <v>0</v>
      </c>
      <c r="J116">
        <v>0</v>
      </c>
      <c r="K116" t="s">
        <v>1255</v>
      </c>
      <c r="L116">
        <v>3879</v>
      </c>
      <c r="M116">
        <v>3621</v>
      </c>
      <c r="N116">
        <v>7500</v>
      </c>
      <c r="O116">
        <v>0</v>
      </c>
      <c r="P116">
        <v>795</v>
      </c>
      <c r="Q116">
        <v>795</v>
      </c>
      <c r="R116">
        <v>0</v>
      </c>
      <c r="S116">
        <v>0</v>
      </c>
      <c r="T116">
        <v>0</v>
      </c>
      <c r="U116">
        <v>0</v>
      </c>
      <c r="V116">
        <v>0</v>
      </c>
      <c r="W116">
        <v>0</v>
      </c>
      <c r="X116" t="s">
        <v>1291</v>
      </c>
    </row>
    <row r="117" spans="2:24">
      <c r="B117">
        <v>81</v>
      </c>
      <c r="C117" t="s">
        <v>526</v>
      </c>
      <c r="D117" t="s">
        <v>525</v>
      </c>
      <c r="E117" t="s">
        <v>1193</v>
      </c>
      <c r="G117" t="s">
        <v>1150</v>
      </c>
      <c r="H117">
        <v>500</v>
      </c>
      <c r="J117">
        <v>500</v>
      </c>
      <c r="K117" t="s">
        <v>1292</v>
      </c>
      <c r="L117">
        <v>460</v>
      </c>
      <c r="N117">
        <v>460</v>
      </c>
      <c r="O117">
        <v>0</v>
      </c>
      <c r="Q117">
        <v>0</v>
      </c>
      <c r="R117">
        <v>0</v>
      </c>
      <c r="S117">
        <v>0</v>
      </c>
      <c r="T117">
        <v>0</v>
      </c>
      <c r="U117">
        <v>0</v>
      </c>
      <c r="V117">
        <v>0</v>
      </c>
      <c r="W117">
        <v>0</v>
      </c>
      <c r="X117" t="s">
        <v>1293</v>
      </c>
    </row>
    <row r="118" spans="2:24">
      <c r="B118">
        <v>82</v>
      </c>
      <c r="C118" t="s">
        <v>1000</v>
      </c>
      <c r="D118" t="s">
        <v>525</v>
      </c>
      <c r="E118" t="s">
        <v>1294</v>
      </c>
      <c r="F118" t="s">
        <v>1200</v>
      </c>
      <c r="G118" t="s">
        <v>1150</v>
      </c>
      <c r="H118">
        <v>2500</v>
      </c>
      <c r="J118">
        <v>2500</v>
      </c>
      <c r="K118" t="s">
        <v>1255</v>
      </c>
      <c r="L118">
        <v>1550</v>
      </c>
      <c r="M118">
        <v>750</v>
      </c>
      <c r="N118">
        <v>2300</v>
      </c>
      <c r="O118">
        <v>350</v>
      </c>
      <c r="P118">
        <v>500</v>
      </c>
      <c r="Q118">
        <v>850</v>
      </c>
      <c r="R118">
        <v>0</v>
      </c>
      <c r="S118">
        <v>0</v>
      </c>
      <c r="T118">
        <v>0</v>
      </c>
      <c r="U118">
        <v>850</v>
      </c>
      <c r="V118">
        <v>0</v>
      </c>
      <c r="W118">
        <v>850</v>
      </c>
      <c r="X118" t="s">
        <v>1295</v>
      </c>
    </row>
    <row r="119" spans="2:24">
      <c r="B119">
        <v>83</v>
      </c>
      <c r="C119" t="s">
        <v>526</v>
      </c>
      <c r="D119" t="s">
        <v>525</v>
      </c>
      <c r="E119" t="s">
        <v>1296</v>
      </c>
      <c r="F119" t="s">
        <v>1200</v>
      </c>
      <c r="G119" t="s">
        <v>1150</v>
      </c>
      <c r="H119">
        <v>500</v>
      </c>
      <c r="J119">
        <v>500</v>
      </c>
      <c r="K119">
        <v>2029</v>
      </c>
      <c r="L119">
        <v>0</v>
      </c>
      <c r="N119">
        <v>0</v>
      </c>
      <c r="O119">
        <v>0</v>
      </c>
      <c r="Q119">
        <v>0</v>
      </c>
      <c r="R119">
        <v>500</v>
      </c>
      <c r="T119">
        <v>500</v>
      </c>
      <c r="U119">
        <v>0</v>
      </c>
      <c r="V119">
        <v>0</v>
      </c>
      <c r="W119">
        <v>0</v>
      </c>
      <c r="X119" t="s">
        <v>1297</v>
      </c>
    </row>
    <row r="120" spans="2:24">
      <c r="B120">
        <v>84</v>
      </c>
      <c r="C120" t="s">
        <v>801</v>
      </c>
      <c r="D120" t="s">
        <v>800</v>
      </c>
      <c r="E120" t="s">
        <v>1298</v>
      </c>
      <c r="G120" t="s">
        <v>1150</v>
      </c>
      <c r="H120">
        <v>1000</v>
      </c>
      <c r="I120">
        <v>0</v>
      </c>
      <c r="J120">
        <v>1000</v>
      </c>
      <c r="K120" t="s">
        <v>1299</v>
      </c>
      <c r="L120">
        <v>0</v>
      </c>
      <c r="M120">
        <v>750</v>
      </c>
      <c r="N120">
        <v>750</v>
      </c>
      <c r="O120">
        <v>0</v>
      </c>
      <c r="P120">
        <v>0</v>
      </c>
      <c r="Q120">
        <v>0</v>
      </c>
      <c r="R120">
        <v>0</v>
      </c>
      <c r="S120">
        <v>250</v>
      </c>
      <c r="T120">
        <v>250</v>
      </c>
      <c r="U120">
        <v>1500</v>
      </c>
      <c r="V120">
        <v>0</v>
      </c>
      <c r="W120">
        <v>1500</v>
      </c>
      <c r="X120" t="s">
        <v>1287</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P93"/>
  <sheetViews>
    <sheetView workbookViewId="0">
      <selection activeCell="K21" sqref="K21"/>
    </sheetView>
  </sheetViews>
  <sheetFormatPr defaultRowHeight="12.5"/>
  <sheetData>
    <row r="4" spans="2:16" ht="52" customHeight="1">
      <c r="B4" s="38" t="s">
        <v>31</v>
      </c>
      <c r="C4" s="38" t="s">
        <v>1300</v>
      </c>
      <c r="D4" s="38" t="s">
        <v>1301</v>
      </c>
      <c r="E4" s="38" t="s">
        <v>1302</v>
      </c>
      <c r="F4" s="38" t="s">
        <v>1303</v>
      </c>
      <c r="G4" s="38" t="s">
        <v>1304</v>
      </c>
      <c r="H4" s="38" t="s">
        <v>1305</v>
      </c>
      <c r="I4" s="38" t="s">
        <v>1306</v>
      </c>
      <c r="J4" s="38" t="s">
        <v>1307</v>
      </c>
      <c r="K4" s="38" t="s">
        <v>1308</v>
      </c>
      <c r="L4" s="38" t="s">
        <v>1309</v>
      </c>
      <c r="M4" s="38" t="s">
        <v>1310</v>
      </c>
      <c r="N4" s="38" t="s">
        <v>1311</v>
      </c>
      <c r="O4" s="38" t="s">
        <v>67</v>
      </c>
    </row>
    <row r="5" spans="2:16">
      <c r="B5" t="s">
        <v>526</v>
      </c>
      <c r="C5" t="s">
        <v>789</v>
      </c>
      <c r="D5" t="s">
        <v>1312</v>
      </c>
      <c r="E5">
        <v>1100</v>
      </c>
      <c r="F5">
        <v>0</v>
      </c>
      <c r="G5">
        <v>0</v>
      </c>
      <c r="H5">
        <v>2</v>
      </c>
      <c r="I5">
        <v>1</v>
      </c>
      <c r="J5">
        <v>0</v>
      </c>
      <c r="K5">
        <v>0</v>
      </c>
      <c r="L5">
        <v>0</v>
      </c>
      <c r="M5">
        <v>0</v>
      </c>
      <c r="N5">
        <v>0</v>
      </c>
      <c r="O5" t="s">
        <v>1313</v>
      </c>
      <c r="P5" t="s">
        <v>525</v>
      </c>
    </row>
    <row r="6" spans="2:16">
      <c r="B6" t="s">
        <v>526</v>
      </c>
      <c r="C6" t="s">
        <v>1314</v>
      </c>
      <c r="E6">
        <v>1350</v>
      </c>
      <c r="O6" t="s">
        <v>1315</v>
      </c>
      <c r="P6" t="s">
        <v>525</v>
      </c>
    </row>
    <row r="7" spans="2:16">
      <c r="B7" t="s">
        <v>656</v>
      </c>
      <c r="C7" t="s">
        <v>1316</v>
      </c>
      <c r="D7" t="s">
        <v>1317</v>
      </c>
      <c r="E7">
        <v>0</v>
      </c>
      <c r="F7">
        <v>0</v>
      </c>
      <c r="G7">
        <v>0</v>
      </c>
      <c r="H7">
        <v>0</v>
      </c>
      <c r="I7">
        <v>0</v>
      </c>
      <c r="J7">
        <v>0</v>
      </c>
      <c r="K7">
        <v>0</v>
      </c>
      <c r="L7">
        <v>0</v>
      </c>
      <c r="M7">
        <v>0</v>
      </c>
      <c r="N7">
        <v>0</v>
      </c>
      <c r="O7" t="s">
        <v>1318</v>
      </c>
      <c r="P7" t="s">
        <v>525</v>
      </c>
    </row>
    <row r="8" spans="2:16">
      <c r="B8" t="s">
        <v>656</v>
      </c>
      <c r="C8" t="s">
        <v>1319</v>
      </c>
      <c r="D8" t="s">
        <v>1320</v>
      </c>
      <c r="E8">
        <v>0</v>
      </c>
      <c r="F8">
        <v>0</v>
      </c>
      <c r="G8">
        <v>0</v>
      </c>
      <c r="H8">
        <v>0</v>
      </c>
      <c r="I8">
        <v>0</v>
      </c>
      <c r="J8">
        <v>0</v>
      </c>
      <c r="K8">
        <v>0</v>
      </c>
      <c r="L8">
        <v>1</v>
      </c>
      <c r="M8">
        <v>0</v>
      </c>
      <c r="N8">
        <v>0</v>
      </c>
      <c r="O8" t="s">
        <v>1321</v>
      </c>
      <c r="P8" t="s">
        <v>525</v>
      </c>
    </row>
    <row r="9" spans="2:16">
      <c r="B9" t="s">
        <v>656</v>
      </c>
      <c r="C9" t="s">
        <v>628</v>
      </c>
      <c r="D9" t="s">
        <v>1322</v>
      </c>
      <c r="E9">
        <v>300</v>
      </c>
      <c r="F9">
        <v>0</v>
      </c>
      <c r="G9">
        <v>0</v>
      </c>
      <c r="H9">
        <v>0</v>
      </c>
      <c r="I9">
        <v>0</v>
      </c>
      <c r="J9">
        <v>0</v>
      </c>
      <c r="K9">
        <v>0</v>
      </c>
      <c r="L9">
        <v>0</v>
      </c>
      <c r="M9">
        <v>0</v>
      </c>
      <c r="N9">
        <v>0</v>
      </c>
      <c r="O9" t="s">
        <v>1323</v>
      </c>
      <c r="P9" t="s">
        <v>525</v>
      </c>
    </row>
    <row r="10" spans="2:16">
      <c r="B10" t="s">
        <v>1000</v>
      </c>
      <c r="C10" t="s">
        <v>1324</v>
      </c>
      <c r="D10" t="s">
        <v>1325</v>
      </c>
      <c r="E10">
        <v>300</v>
      </c>
      <c r="F10">
        <v>0</v>
      </c>
      <c r="G10">
        <v>0</v>
      </c>
      <c r="H10">
        <v>0</v>
      </c>
      <c r="I10">
        <v>0</v>
      </c>
      <c r="J10">
        <v>0</v>
      </c>
      <c r="K10">
        <v>0</v>
      </c>
      <c r="L10">
        <v>0</v>
      </c>
      <c r="M10">
        <v>0</v>
      </c>
      <c r="N10">
        <v>0</v>
      </c>
      <c r="O10" t="s">
        <v>1326</v>
      </c>
      <c r="P10" t="s">
        <v>525</v>
      </c>
    </row>
    <row r="11" spans="2:16">
      <c r="B11" t="s">
        <v>1000</v>
      </c>
      <c r="C11" t="s">
        <v>1327</v>
      </c>
      <c r="D11" t="s">
        <v>1328</v>
      </c>
      <c r="E11">
        <v>1224.4000000000001</v>
      </c>
      <c r="F11">
        <v>150.6</v>
      </c>
      <c r="G11">
        <v>100</v>
      </c>
      <c r="H11">
        <v>1</v>
      </c>
      <c r="I11">
        <v>1</v>
      </c>
      <c r="J11">
        <v>0</v>
      </c>
      <c r="K11">
        <v>0</v>
      </c>
      <c r="L11">
        <v>0</v>
      </c>
      <c r="N11">
        <v>0</v>
      </c>
      <c r="O11" t="s">
        <v>1329</v>
      </c>
      <c r="P11" t="s">
        <v>525</v>
      </c>
    </row>
    <row r="12" spans="2:16">
      <c r="B12" t="s">
        <v>1000</v>
      </c>
      <c r="C12" t="s">
        <v>1330</v>
      </c>
      <c r="D12" t="s">
        <v>1331</v>
      </c>
      <c r="E12">
        <v>0</v>
      </c>
      <c r="F12">
        <v>0</v>
      </c>
      <c r="G12">
        <v>0</v>
      </c>
      <c r="H12">
        <v>0</v>
      </c>
      <c r="I12">
        <v>0</v>
      </c>
      <c r="J12">
        <v>0</v>
      </c>
      <c r="K12">
        <v>0</v>
      </c>
      <c r="L12">
        <v>0</v>
      </c>
      <c r="M12">
        <v>0</v>
      </c>
      <c r="N12">
        <v>0</v>
      </c>
      <c r="O12" t="s">
        <v>1332</v>
      </c>
      <c r="P12" t="s">
        <v>525</v>
      </c>
    </row>
    <row r="13" spans="2:16">
      <c r="B13" t="s">
        <v>1000</v>
      </c>
      <c r="C13" t="s">
        <v>1333</v>
      </c>
      <c r="D13" t="s">
        <v>1334</v>
      </c>
      <c r="E13">
        <v>892</v>
      </c>
      <c r="F13">
        <v>356</v>
      </c>
      <c r="G13">
        <v>0</v>
      </c>
      <c r="H13">
        <v>3</v>
      </c>
      <c r="I13">
        <v>0</v>
      </c>
      <c r="J13">
        <v>0</v>
      </c>
      <c r="K13">
        <v>0</v>
      </c>
      <c r="L13">
        <v>0</v>
      </c>
      <c r="M13">
        <v>0</v>
      </c>
      <c r="N13">
        <v>2</v>
      </c>
      <c r="O13" t="s">
        <v>1335</v>
      </c>
      <c r="P13" t="s">
        <v>525</v>
      </c>
    </row>
    <row r="14" spans="2:16">
      <c r="B14" t="s">
        <v>1000</v>
      </c>
      <c r="C14" t="s">
        <v>1336</v>
      </c>
      <c r="D14" t="s">
        <v>1337</v>
      </c>
      <c r="E14">
        <v>700</v>
      </c>
      <c r="F14">
        <v>0</v>
      </c>
      <c r="G14">
        <v>0</v>
      </c>
      <c r="H14">
        <v>0</v>
      </c>
      <c r="I14">
        <v>0</v>
      </c>
      <c r="J14">
        <v>0</v>
      </c>
      <c r="K14">
        <v>0</v>
      </c>
      <c r="P14" t="s">
        <v>525</v>
      </c>
    </row>
    <row r="15" spans="2:16">
      <c r="B15" t="s">
        <v>1000</v>
      </c>
      <c r="C15" t="s">
        <v>1338</v>
      </c>
      <c r="D15" t="s">
        <v>1339</v>
      </c>
      <c r="E15">
        <v>300</v>
      </c>
      <c r="F15">
        <v>0</v>
      </c>
      <c r="G15">
        <v>0</v>
      </c>
      <c r="H15">
        <v>0</v>
      </c>
      <c r="I15">
        <v>0</v>
      </c>
      <c r="J15">
        <v>0</v>
      </c>
      <c r="K15">
        <v>0</v>
      </c>
      <c r="O15" t="s">
        <v>1340</v>
      </c>
      <c r="P15" t="s">
        <v>525</v>
      </c>
    </row>
    <row r="16" spans="2:16">
      <c r="B16" t="s">
        <v>1341</v>
      </c>
      <c r="C16" t="s">
        <v>1342</v>
      </c>
      <c r="D16" t="s">
        <v>1331</v>
      </c>
      <c r="E16">
        <v>0</v>
      </c>
      <c r="F16">
        <v>0</v>
      </c>
      <c r="G16">
        <v>0</v>
      </c>
      <c r="H16">
        <v>0</v>
      </c>
      <c r="I16">
        <v>0</v>
      </c>
      <c r="J16">
        <v>0</v>
      </c>
      <c r="K16">
        <v>0</v>
      </c>
      <c r="L16">
        <v>0</v>
      </c>
      <c r="M16">
        <v>0</v>
      </c>
      <c r="N16">
        <v>0</v>
      </c>
      <c r="O16" t="s">
        <v>1343</v>
      </c>
      <c r="P16" t="s">
        <v>525</v>
      </c>
    </row>
    <row r="17" spans="2:16">
      <c r="B17" t="s">
        <v>1341</v>
      </c>
      <c r="C17" t="s">
        <v>1344</v>
      </c>
      <c r="D17" t="s">
        <v>1345</v>
      </c>
      <c r="E17">
        <v>0</v>
      </c>
      <c r="F17">
        <v>0</v>
      </c>
      <c r="G17">
        <v>0</v>
      </c>
      <c r="H17">
        <v>0</v>
      </c>
      <c r="I17">
        <v>0</v>
      </c>
      <c r="J17">
        <v>0</v>
      </c>
      <c r="K17">
        <v>0</v>
      </c>
      <c r="L17">
        <v>0</v>
      </c>
      <c r="M17">
        <v>0</v>
      </c>
      <c r="N17">
        <v>0</v>
      </c>
      <c r="O17" t="s">
        <v>1343</v>
      </c>
      <c r="P17" t="s">
        <v>525</v>
      </c>
    </row>
    <row r="18" spans="2:16">
      <c r="B18" t="s">
        <v>1341</v>
      </c>
      <c r="C18" t="s">
        <v>1346</v>
      </c>
      <c r="D18" t="s">
        <v>1347</v>
      </c>
      <c r="E18">
        <v>0</v>
      </c>
      <c r="F18">
        <v>0</v>
      </c>
      <c r="G18">
        <v>0</v>
      </c>
      <c r="I18">
        <v>0</v>
      </c>
      <c r="J18">
        <v>0</v>
      </c>
      <c r="K18">
        <v>0</v>
      </c>
      <c r="L18">
        <v>0</v>
      </c>
      <c r="M18">
        <v>0</v>
      </c>
      <c r="N18">
        <v>0</v>
      </c>
      <c r="O18" t="s">
        <v>1343</v>
      </c>
      <c r="P18" t="s">
        <v>525</v>
      </c>
    </row>
    <row r="19" spans="2:16">
      <c r="B19" t="s">
        <v>997</v>
      </c>
      <c r="C19" t="s">
        <v>992</v>
      </c>
      <c r="D19" t="s">
        <v>1348</v>
      </c>
      <c r="E19">
        <v>2714</v>
      </c>
      <c r="F19">
        <v>0</v>
      </c>
      <c r="G19">
        <v>0</v>
      </c>
      <c r="I19">
        <v>1</v>
      </c>
      <c r="J19">
        <v>0</v>
      </c>
      <c r="K19">
        <v>250</v>
      </c>
      <c r="M19">
        <v>0</v>
      </c>
      <c r="N19">
        <v>1</v>
      </c>
      <c r="P19" t="s">
        <v>417</v>
      </c>
    </row>
    <row r="20" spans="2:16">
      <c r="B20" t="s">
        <v>682</v>
      </c>
      <c r="C20" t="s">
        <v>688</v>
      </c>
      <c r="D20" t="s">
        <v>1349</v>
      </c>
      <c r="E20">
        <v>600.29999999999995</v>
      </c>
      <c r="F20">
        <v>0</v>
      </c>
      <c r="G20">
        <v>0</v>
      </c>
      <c r="H20">
        <v>0</v>
      </c>
      <c r="J20">
        <v>0</v>
      </c>
      <c r="K20">
        <v>0</v>
      </c>
      <c r="M20">
        <v>0</v>
      </c>
      <c r="N20">
        <v>0</v>
      </c>
      <c r="P20" t="s">
        <v>417</v>
      </c>
    </row>
    <row r="21" spans="2:16">
      <c r="B21" t="s">
        <v>1350</v>
      </c>
      <c r="C21" t="s">
        <v>1351</v>
      </c>
      <c r="D21" t="s">
        <v>1349</v>
      </c>
      <c r="E21">
        <v>0</v>
      </c>
      <c r="F21">
        <v>300</v>
      </c>
      <c r="G21">
        <v>0</v>
      </c>
      <c r="H21">
        <v>2</v>
      </c>
      <c r="I21">
        <v>0</v>
      </c>
      <c r="J21">
        <v>0</v>
      </c>
      <c r="K21">
        <v>0</v>
      </c>
      <c r="L21">
        <v>2</v>
      </c>
      <c r="M21">
        <v>0</v>
      </c>
      <c r="N21">
        <v>0</v>
      </c>
      <c r="P21" t="s">
        <v>417</v>
      </c>
    </row>
    <row r="22" spans="2:16">
      <c r="B22" t="s">
        <v>661</v>
      </c>
      <c r="C22" t="s">
        <v>522</v>
      </c>
      <c r="D22" t="s">
        <v>1352</v>
      </c>
      <c r="E22">
        <v>655</v>
      </c>
      <c r="F22">
        <v>0</v>
      </c>
      <c r="G22">
        <v>0</v>
      </c>
      <c r="J22">
        <v>0</v>
      </c>
      <c r="K22">
        <v>0</v>
      </c>
      <c r="N22">
        <v>0</v>
      </c>
      <c r="O22" t="s">
        <v>1353</v>
      </c>
      <c r="P22" t="s">
        <v>417</v>
      </c>
    </row>
    <row r="23" spans="2:16">
      <c r="B23" t="s">
        <v>661</v>
      </c>
      <c r="C23" t="s">
        <v>1354</v>
      </c>
      <c r="D23" t="s">
        <v>1352</v>
      </c>
      <c r="E23" t="s">
        <v>1355</v>
      </c>
      <c r="F23">
        <v>500</v>
      </c>
      <c r="G23">
        <v>0</v>
      </c>
      <c r="H23">
        <v>2</v>
      </c>
      <c r="J23">
        <v>0</v>
      </c>
      <c r="K23">
        <v>0</v>
      </c>
      <c r="M23">
        <v>0</v>
      </c>
      <c r="N23">
        <v>0</v>
      </c>
      <c r="P23" t="s">
        <v>417</v>
      </c>
    </row>
    <row r="24" spans="2:16">
      <c r="B24" t="s">
        <v>661</v>
      </c>
      <c r="C24" t="s">
        <v>1356</v>
      </c>
      <c r="D24" t="s">
        <v>1357</v>
      </c>
      <c r="E24" t="s">
        <v>1355</v>
      </c>
      <c r="F24">
        <v>0</v>
      </c>
      <c r="G24">
        <v>1000</v>
      </c>
      <c r="I24">
        <v>2</v>
      </c>
      <c r="J24">
        <v>0</v>
      </c>
      <c r="K24">
        <v>0</v>
      </c>
      <c r="M24">
        <v>0</v>
      </c>
      <c r="N24">
        <v>0</v>
      </c>
      <c r="P24" t="s">
        <v>417</v>
      </c>
    </row>
    <row r="25" spans="2:16">
      <c r="B25" t="s">
        <v>661</v>
      </c>
      <c r="C25" t="s">
        <v>1358</v>
      </c>
      <c r="D25" t="s">
        <v>1359</v>
      </c>
      <c r="E25">
        <v>160</v>
      </c>
      <c r="F25">
        <v>0</v>
      </c>
      <c r="G25">
        <v>0</v>
      </c>
      <c r="H25">
        <v>0</v>
      </c>
      <c r="O25" t="s">
        <v>1360</v>
      </c>
      <c r="P25" t="s">
        <v>417</v>
      </c>
    </row>
    <row r="26" spans="2:16">
      <c r="B26" t="s">
        <v>69</v>
      </c>
      <c r="C26" t="s">
        <v>1361</v>
      </c>
      <c r="D26" t="s">
        <v>1362</v>
      </c>
      <c r="E26" t="s">
        <v>1355</v>
      </c>
      <c r="F26">
        <v>0</v>
      </c>
      <c r="G26">
        <v>0</v>
      </c>
      <c r="H26">
        <v>0</v>
      </c>
      <c r="I26">
        <v>0</v>
      </c>
      <c r="J26">
        <v>0</v>
      </c>
      <c r="K26">
        <v>0</v>
      </c>
      <c r="L26">
        <v>0</v>
      </c>
      <c r="M26">
        <v>0</v>
      </c>
      <c r="N26">
        <v>0</v>
      </c>
      <c r="P26" t="s">
        <v>68</v>
      </c>
    </row>
    <row r="27" spans="2:16">
      <c r="B27" t="s">
        <v>69</v>
      </c>
      <c r="C27" t="s">
        <v>1006</v>
      </c>
      <c r="D27" t="s">
        <v>1362</v>
      </c>
      <c r="E27" t="s">
        <v>1355</v>
      </c>
      <c r="F27">
        <v>0</v>
      </c>
      <c r="G27">
        <v>0</v>
      </c>
      <c r="H27">
        <v>0</v>
      </c>
      <c r="I27">
        <v>0</v>
      </c>
      <c r="J27">
        <v>0</v>
      </c>
      <c r="K27">
        <v>0</v>
      </c>
      <c r="L27">
        <v>0</v>
      </c>
      <c r="M27">
        <v>0</v>
      </c>
      <c r="N27">
        <v>0</v>
      </c>
      <c r="P27" t="s">
        <v>68</v>
      </c>
    </row>
    <row r="28" spans="2:16">
      <c r="B28" t="s">
        <v>69</v>
      </c>
      <c r="C28" t="s">
        <v>1363</v>
      </c>
      <c r="D28" t="s">
        <v>1364</v>
      </c>
      <c r="E28" t="s">
        <v>1355</v>
      </c>
      <c r="F28">
        <v>0</v>
      </c>
      <c r="G28">
        <v>0</v>
      </c>
      <c r="H28">
        <v>0</v>
      </c>
      <c r="I28">
        <v>0</v>
      </c>
      <c r="J28">
        <v>0</v>
      </c>
      <c r="N28">
        <v>0</v>
      </c>
      <c r="O28" t="s">
        <v>1365</v>
      </c>
      <c r="P28" t="s">
        <v>68</v>
      </c>
    </row>
    <row r="29" spans="2:16">
      <c r="B29" t="s">
        <v>69</v>
      </c>
      <c r="C29" t="s">
        <v>1366</v>
      </c>
      <c r="D29" t="s">
        <v>1367</v>
      </c>
      <c r="E29" t="s">
        <v>1355</v>
      </c>
      <c r="F29">
        <v>0</v>
      </c>
      <c r="G29">
        <v>0</v>
      </c>
      <c r="H29">
        <v>0</v>
      </c>
      <c r="I29">
        <v>0</v>
      </c>
      <c r="J29">
        <v>0</v>
      </c>
      <c r="N29">
        <v>0</v>
      </c>
      <c r="O29" t="s">
        <v>1365</v>
      </c>
      <c r="P29" t="s">
        <v>68</v>
      </c>
    </row>
    <row r="30" spans="2:16">
      <c r="B30" t="s">
        <v>69</v>
      </c>
      <c r="C30" t="s">
        <v>1368</v>
      </c>
      <c r="D30" t="s">
        <v>1367</v>
      </c>
      <c r="E30" t="s">
        <v>1355</v>
      </c>
      <c r="F30">
        <v>0</v>
      </c>
      <c r="G30">
        <v>0</v>
      </c>
      <c r="H30">
        <v>0</v>
      </c>
      <c r="I30">
        <v>0</v>
      </c>
      <c r="J30">
        <v>0</v>
      </c>
      <c r="N30">
        <v>0</v>
      </c>
      <c r="O30" t="s">
        <v>1365</v>
      </c>
      <c r="P30" t="s">
        <v>68</v>
      </c>
    </row>
    <row r="31" spans="2:16">
      <c r="B31" t="s">
        <v>69</v>
      </c>
      <c r="C31" t="s">
        <v>1369</v>
      </c>
      <c r="D31" t="s">
        <v>1370</v>
      </c>
      <c r="E31" t="s">
        <v>1355</v>
      </c>
      <c r="F31">
        <v>0</v>
      </c>
      <c r="G31">
        <v>0</v>
      </c>
      <c r="H31">
        <v>0</v>
      </c>
      <c r="I31">
        <v>0</v>
      </c>
      <c r="J31">
        <v>0</v>
      </c>
      <c r="N31">
        <v>0</v>
      </c>
      <c r="O31" t="s">
        <v>1365</v>
      </c>
      <c r="P31" t="s">
        <v>68</v>
      </c>
    </row>
    <row r="32" spans="2:16">
      <c r="B32" t="s">
        <v>69</v>
      </c>
      <c r="C32" t="s">
        <v>1371</v>
      </c>
      <c r="D32" t="s">
        <v>1372</v>
      </c>
      <c r="E32" t="s">
        <v>1355</v>
      </c>
      <c r="F32">
        <v>0</v>
      </c>
      <c r="G32">
        <v>0</v>
      </c>
      <c r="H32">
        <v>0</v>
      </c>
      <c r="I32">
        <v>0</v>
      </c>
      <c r="J32">
        <v>0</v>
      </c>
      <c r="K32">
        <v>0</v>
      </c>
      <c r="L32">
        <v>0</v>
      </c>
      <c r="M32">
        <v>0</v>
      </c>
      <c r="N32">
        <v>0</v>
      </c>
      <c r="O32" t="s">
        <v>1365</v>
      </c>
      <c r="P32" t="s">
        <v>68</v>
      </c>
    </row>
    <row r="33" spans="2:16">
      <c r="B33" t="s">
        <v>69</v>
      </c>
      <c r="C33" t="s">
        <v>1373</v>
      </c>
      <c r="D33" t="s">
        <v>1374</v>
      </c>
      <c r="E33" t="s">
        <v>1355</v>
      </c>
      <c r="F33">
        <v>0</v>
      </c>
      <c r="G33">
        <v>0</v>
      </c>
      <c r="H33">
        <v>0</v>
      </c>
      <c r="I33">
        <v>0</v>
      </c>
      <c r="J33">
        <v>0</v>
      </c>
      <c r="K33">
        <v>0</v>
      </c>
      <c r="L33">
        <v>0</v>
      </c>
      <c r="M33">
        <v>0</v>
      </c>
      <c r="N33">
        <v>0</v>
      </c>
      <c r="O33" t="s">
        <v>1365</v>
      </c>
      <c r="P33" t="s">
        <v>68</v>
      </c>
    </row>
    <row r="34" spans="2:16">
      <c r="B34" t="s">
        <v>69</v>
      </c>
      <c r="C34" t="s">
        <v>1375</v>
      </c>
      <c r="D34" t="s">
        <v>1364</v>
      </c>
      <c r="E34" t="s">
        <v>1355</v>
      </c>
      <c r="F34">
        <v>0</v>
      </c>
      <c r="G34">
        <v>0</v>
      </c>
      <c r="H34">
        <v>0</v>
      </c>
      <c r="I34">
        <v>0</v>
      </c>
      <c r="J34">
        <v>0</v>
      </c>
      <c r="N34">
        <v>0</v>
      </c>
      <c r="O34" t="s">
        <v>1365</v>
      </c>
      <c r="P34" t="s">
        <v>68</v>
      </c>
    </row>
    <row r="35" spans="2:16">
      <c r="B35" t="s">
        <v>69</v>
      </c>
      <c r="C35" t="s">
        <v>1376</v>
      </c>
      <c r="D35" t="s">
        <v>1377</v>
      </c>
      <c r="E35" t="s">
        <v>1355</v>
      </c>
      <c r="F35">
        <v>0</v>
      </c>
      <c r="G35">
        <v>0</v>
      </c>
      <c r="H35">
        <v>0</v>
      </c>
      <c r="I35">
        <v>0</v>
      </c>
      <c r="J35">
        <v>0</v>
      </c>
      <c r="K35">
        <v>0</v>
      </c>
      <c r="L35">
        <v>0</v>
      </c>
      <c r="M35">
        <v>0</v>
      </c>
      <c r="N35">
        <v>0</v>
      </c>
      <c r="P35" t="s">
        <v>68</v>
      </c>
    </row>
    <row r="36" spans="2:16">
      <c r="B36" t="s">
        <v>69</v>
      </c>
      <c r="C36" t="s">
        <v>1378</v>
      </c>
      <c r="D36" t="s">
        <v>1379</v>
      </c>
      <c r="E36" t="s">
        <v>1355</v>
      </c>
      <c r="F36">
        <v>0</v>
      </c>
      <c r="G36">
        <v>0</v>
      </c>
      <c r="H36">
        <v>0</v>
      </c>
      <c r="I36">
        <v>0</v>
      </c>
      <c r="J36">
        <v>0</v>
      </c>
      <c r="K36">
        <v>0</v>
      </c>
      <c r="L36">
        <v>0</v>
      </c>
      <c r="M36">
        <v>0</v>
      </c>
      <c r="N36">
        <v>0</v>
      </c>
      <c r="P36" t="s">
        <v>68</v>
      </c>
    </row>
    <row r="37" spans="2:16">
      <c r="B37" t="s">
        <v>1380</v>
      </c>
      <c r="C37" t="s">
        <v>1381</v>
      </c>
      <c r="D37" t="s">
        <v>1382</v>
      </c>
      <c r="E37" t="s">
        <v>1355</v>
      </c>
      <c r="F37">
        <v>0</v>
      </c>
      <c r="G37">
        <v>0</v>
      </c>
      <c r="H37">
        <v>0</v>
      </c>
      <c r="I37">
        <v>0</v>
      </c>
      <c r="J37">
        <v>0</v>
      </c>
      <c r="K37">
        <v>0</v>
      </c>
      <c r="L37">
        <v>0</v>
      </c>
      <c r="M37">
        <v>0</v>
      </c>
      <c r="N37">
        <v>0</v>
      </c>
      <c r="P37" t="s">
        <v>68</v>
      </c>
    </row>
    <row r="38" spans="2:16">
      <c r="B38" t="s">
        <v>1380</v>
      </c>
      <c r="C38" t="s">
        <v>1383</v>
      </c>
      <c r="D38" t="s">
        <v>1384</v>
      </c>
      <c r="E38" t="s">
        <v>1355</v>
      </c>
      <c r="F38">
        <v>0</v>
      </c>
      <c r="G38">
        <v>0</v>
      </c>
      <c r="H38">
        <v>0</v>
      </c>
      <c r="I38">
        <v>0</v>
      </c>
      <c r="J38">
        <v>0</v>
      </c>
      <c r="K38">
        <v>0</v>
      </c>
      <c r="L38">
        <v>0</v>
      </c>
      <c r="M38">
        <v>0</v>
      </c>
      <c r="N38">
        <v>0</v>
      </c>
      <c r="P38" t="s">
        <v>68</v>
      </c>
    </row>
    <row r="39" spans="2:16">
      <c r="B39" t="s">
        <v>1380</v>
      </c>
      <c r="C39" t="s">
        <v>1385</v>
      </c>
      <c r="D39" t="s">
        <v>1386</v>
      </c>
      <c r="E39" t="s">
        <v>1355</v>
      </c>
      <c r="F39">
        <v>0</v>
      </c>
      <c r="G39">
        <v>0</v>
      </c>
      <c r="H39">
        <v>1</v>
      </c>
      <c r="I39">
        <v>0</v>
      </c>
      <c r="J39">
        <v>0</v>
      </c>
      <c r="K39">
        <v>0</v>
      </c>
      <c r="L39">
        <v>0</v>
      </c>
      <c r="M39">
        <v>0</v>
      </c>
      <c r="N39">
        <v>0</v>
      </c>
      <c r="O39" t="s">
        <v>1387</v>
      </c>
      <c r="P39" t="s">
        <v>68</v>
      </c>
    </row>
    <row r="40" spans="2:16">
      <c r="B40" t="s">
        <v>1388</v>
      </c>
      <c r="C40" t="s">
        <v>1389</v>
      </c>
      <c r="D40" t="s">
        <v>1390</v>
      </c>
      <c r="E40" t="s">
        <v>1355</v>
      </c>
      <c r="F40">
        <v>0</v>
      </c>
      <c r="G40">
        <v>500</v>
      </c>
      <c r="H40">
        <v>0</v>
      </c>
      <c r="I40">
        <v>1</v>
      </c>
      <c r="J40">
        <v>0</v>
      </c>
      <c r="K40">
        <v>0</v>
      </c>
      <c r="L40">
        <v>0</v>
      </c>
      <c r="M40">
        <v>0</v>
      </c>
      <c r="N40">
        <v>0</v>
      </c>
      <c r="O40" t="s">
        <v>1391</v>
      </c>
      <c r="P40" t="s">
        <v>68</v>
      </c>
    </row>
    <row r="41" spans="2:16">
      <c r="B41" t="s">
        <v>1388</v>
      </c>
      <c r="C41" t="s">
        <v>1392</v>
      </c>
      <c r="D41" t="s">
        <v>1393</v>
      </c>
      <c r="E41" t="s">
        <v>1355</v>
      </c>
      <c r="F41">
        <v>0</v>
      </c>
      <c r="G41">
        <v>0</v>
      </c>
      <c r="H41">
        <v>0</v>
      </c>
      <c r="I41">
        <v>0</v>
      </c>
      <c r="J41">
        <v>0</v>
      </c>
      <c r="K41">
        <v>0</v>
      </c>
      <c r="L41">
        <v>0</v>
      </c>
      <c r="M41">
        <v>0</v>
      </c>
      <c r="N41">
        <v>0</v>
      </c>
      <c r="P41" t="s">
        <v>68</v>
      </c>
    </row>
    <row r="42" spans="2:16">
      <c r="B42" t="s">
        <v>1388</v>
      </c>
      <c r="C42" t="s">
        <v>1394</v>
      </c>
      <c r="D42" t="s">
        <v>1395</v>
      </c>
      <c r="E42" t="s">
        <v>1355</v>
      </c>
      <c r="F42">
        <v>0</v>
      </c>
      <c r="G42">
        <v>500</v>
      </c>
      <c r="H42">
        <v>0</v>
      </c>
      <c r="I42">
        <v>1</v>
      </c>
      <c r="J42">
        <v>0</v>
      </c>
      <c r="K42">
        <v>0</v>
      </c>
      <c r="L42">
        <v>0</v>
      </c>
      <c r="M42">
        <v>0</v>
      </c>
      <c r="N42">
        <v>0</v>
      </c>
      <c r="P42" t="s">
        <v>68</v>
      </c>
    </row>
    <row r="43" spans="2:16">
      <c r="B43" t="s">
        <v>1388</v>
      </c>
      <c r="C43" t="s">
        <v>1396</v>
      </c>
      <c r="D43" t="s">
        <v>1395</v>
      </c>
      <c r="E43" t="s">
        <v>1355</v>
      </c>
      <c r="F43">
        <v>0</v>
      </c>
      <c r="G43">
        <v>850</v>
      </c>
      <c r="H43">
        <v>0</v>
      </c>
      <c r="I43">
        <v>1</v>
      </c>
      <c r="J43">
        <v>0</v>
      </c>
      <c r="K43">
        <v>0</v>
      </c>
      <c r="L43">
        <v>0</v>
      </c>
      <c r="M43">
        <v>0</v>
      </c>
      <c r="N43">
        <v>0</v>
      </c>
      <c r="O43" t="s">
        <v>1397</v>
      </c>
      <c r="P43" t="s">
        <v>68</v>
      </c>
    </row>
    <row r="44" spans="2:16">
      <c r="B44" t="s">
        <v>1388</v>
      </c>
      <c r="C44" t="s">
        <v>1398</v>
      </c>
      <c r="D44" t="s">
        <v>1395</v>
      </c>
      <c r="E44" t="s">
        <v>1355</v>
      </c>
      <c r="F44">
        <v>0</v>
      </c>
      <c r="G44">
        <v>500</v>
      </c>
      <c r="H44">
        <v>0</v>
      </c>
      <c r="I44">
        <v>1</v>
      </c>
      <c r="J44">
        <v>0</v>
      </c>
      <c r="K44">
        <v>0</v>
      </c>
      <c r="L44">
        <v>0</v>
      </c>
      <c r="M44">
        <v>0</v>
      </c>
      <c r="N44">
        <v>0</v>
      </c>
      <c r="P44" t="s">
        <v>68</v>
      </c>
    </row>
    <row r="45" spans="2:16">
      <c r="B45" t="s">
        <v>1399</v>
      </c>
      <c r="C45" t="s">
        <v>1400</v>
      </c>
      <c r="D45" t="s">
        <v>1401</v>
      </c>
      <c r="F45">
        <v>1500</v>
      </c>
      <c r="G45">
        <v>0</v>
      </c>
      <c r="H45">
        <v>5</v>
      </c>
      <c r="P45" t="s">
        <v>1402</v>
      </c>
    </row>
    <row r="46" spans="2:16">
      <c r="B46" t="s">
        <v>1399</v>
      </c>
      <c r="C46" t="s">
        <v>1403</v>
      </c>
      <c r="D46" t="s">
        <v>1404</v>
      </c>
      <c r="E46">
        <v>0</v>
      </c>
      <c r="F46">
        <v>800</v>
      </c>
      <c r="G46">
        <v>0</v>
      </c>
      <c r="H46">
        <v>3</v>
      </c>
      <c r="P46" t="s">
        <v>1402</v>
      </c>
    </row>
    <row r="47" spans="2:16">
      <c r="B47" t="s">
        <v>1399</v>
      </c>
      <c r="C47" t="s">
        <v>1405</v>
      </c>
      <c r="D47" t="s">
        <v>1406</v>
      </c>
      <c r="E47">
        <v>0</v>
      </c>
      <c r="F47">
        <v>0</v>
      </c>
      <c r="G47">
        <v>0</v>
      </c>
      <c r="P47" t="s">
        <v>1402</v>
      </c>
    </row>
    <row r="48" spans="2:16">
      <c r="B48" t="s">
        <v>1399</v>
      </c>
      <c r="C48" t="s">
        <v>1407</v>
      </c>
      <c r="D48" t="s">
        <v>1404</v>
      </c>
      <c r="E48">
        <v>0</v>
      </c>
      <c r="F48">
        <v>500</v>
      </c>
      <c r="G48">
        <v>0</v>
      </c>
      <c r="H48">
        <v>2</v>
      </c>
      <c r="P48" t="s">
        <v>1402</v>
      </c>
    </row>
    <row r="49" spans="2:16">
      <c r="B49" t="s">
        <v>1399</v>
      </c>
      <c r="C49" t="s">
        <v>1408</v>
      </c>
      <c r="D49" t="s">
        <v>1409</v>
      </c>
      <c r="E49">
        <v>0</v>
      </c>
      <c r="F49">
        <v>0</v>
      </c>
      <c r="G49">
        <v>0</v>
      </c>
      <c r="P49" t="s">
        <v>1402</v>
      </c>
    </row>
    <row r="50" spans="2:16">
      <c r="B50" t="s">
        <v>1399</v>
      </c>
      <c r="C50" t="s">
        <v>1410</v>
      </c>
      <c r="D50" t="s">
        <v>1411</v>
      </c>
      <c r="F50">
        <v>300</v>
      </c>
      <c r="H50">
        <v>2</v>
      </c>
      <c r="P50" t="s">
        <v>1402</v>
      </c>
    </row>
    <row r="51" spans="2:16">
      <c r="B51" t="s">
        <v>1399</v>
      </c>
      <c r="C51" t="s">
        <v>1412</v>
      </c>
      <c r="D51" t="s">
        <v>1404</v>
      </c>
      <c r="F51">
        <v>0</v>
      </c>
      <c r="P51" t="s">
        <v>1402</v>
      </c>
    </row>
    <row r="52" spans="2:16">
      <c r="B52" t="s">
        <v>1399</v>
      </c>
      <c r="C52" t="s">
        <v>1413</v>
      </c>
      <c r="D52" t="s">
        <v>1414</v>
      </c>
      <c r="F52">
        <v>0</v>
      </c>
      <c r="P52" t="s">
        <v>1402</v>
      </c>
    </row>
    <row r="53" spans="2:16">
      <c r="B53" t="s">
        <v>1399</v>
      </c>
      <c r="C53" t="s">
        <v>1415</v>
      </c>
      <c r="D53" t="s">
        <v>1416</v>
      </c>
      <c r="F53">
        <v>0</v>
      </c>
      <c r="P53" t="s">
        <v>1402</v>
      </c>
    </row>
    <row r="54" spans="2:16">
      <c r="B54" t="s">
        <v>1399</v>
      </c>
      <c r="C54" t="s">
        <v>1417</v>
      </c>
      <c r="D54" t="s">
        <v>1418</v>
      </c>
      <c r="G54">
        <v>2500</v>
      </c>
      <c r="I54">
        <v>3</v>
      </c>
      <c r="P54" t="s">
        <v>1402</v>
      </c>
    </row>
    <row r="55" spans="2:16">
      <c r="B55" t="s">
        <v>1399</v>
      </c>
      <c r="C55" t="s">
        <v>1419</v>
      </c>
      <c r="D55" t="s">
        <v>1418</v>
      </c>
      <c r="G55">
        <v>2500</v>
      </c>
      <c r="I55">
        <v>3</v>
      </c>
      <c r="P55" t="s">
        <v>1402</v>
      </c>
    </row>
    <row r="56" spans="2:16">
      <c r="B56" t="s">
        <v>1399</v>
      </c>
      <c r="C56" t="s">
        <v>1420</v>
      </c>
      <c r="D56" t="s">
        <v>1418</v>
      </c>
      <c r="G56">
        <v>3000</v>
      </c>
      <c r="I56">
        <v>3</v>
      </c>
      <c r="P56" t="s">
        <v>1402</v>
      </c>
    </row>
    <row r="57" spans="2:16">
      <c r="B57" t="s">
        <v>1399</v>
      </c>
      <c r="C57" t="s">
        <v>1421</v>
      </c>
      <c r="D57" t="s">
        <v>1418</v>
      </c>
      <c r="G57">
        <v>3000</v>
      </c>
      <c r="I57">
        <v>3</v>
      </c>
      <c r="P57" t="s">
        <v>1402</v>
      </c>
    </row>
    <row r="58" spans="2:16">
      <c r="B58" t="s">
        <v>1422</v>
      </c>
      <c r="C58" t="s">
        <v>1423</v>
      </c>
      <c r="D58" t="s">
        <v>1404</v>
      </c>
      <c r="E58">
        <v>0</v>
      </c>
      <c r="F58">
        <v>500</v>
      </c>
      <c r="G58">
        <v>0</v>
      </c>
      <c r="H58">
        <v>2</v>
      </c>
      <c r="J58">
        <v>0</v>
      </c>
      <c r="K58">
        <v>0</v>
      </c>
      <c r="L58">
        <v>0</v>
      </c>
      <c r="M58">
        <v>0</v>
      </c>
      <c r="N58">
        <v>0</v>
      </c>
      <c r="P58" t="s">
        <v>1402</v>
      </c>
    </row>
    <row r="59" spans="2:16">
      <c r="B59" t="s">
        <v>1422</v>
      </c>
      <c r="C59" t="s">
        <v>1424</v>
      </c>
      <c r="D59" t="s">
        <v>1404</v>
      </c>
      <c r="E59">
        <v>0</v>
      </c>
      <c r="F59">
        <v>500</v>
      </c>
      <c r="G59">
        <v>0</v>
      </c>
      <c r="H59">
        <v>2</v>
      </c>
      <c r="J59">
        <v>0</v>
      </c>
      <c r="K59">
        <v>0</v>
      </c>
      <c r="L59">
        <v>0</v>
      </c>
      <c r="M59">
        <v>0</v>
      </c>
      <c r="N59">
        <v>0</v>
      </c>
      <c r="P59" t="s">
        <v>1402</v>
      </c>
    </row>
    <row r="60" spans="2:16">
      <c r="B60" t="s">
        <v>1422</v>
      </c>
      <c r="C60" t="s">
        <v>1425</v>
      </c>
      <c r="D60" t="s">
        <v>1426</v>
      </c>
      <c r="F60">
        <v>800</v>
      </c>
      <c r="H60">
        <v>3</v>
      </c>
      <c r="J60">
        <v>0</v>
      </c>
      <c r="K60">
        <v>0</v>
      </c>
      <c r="L60">
        <v>0</v>
      </c>
      <c r="N60">
        <v>0</v>
      </c>
      <c r="P60" t="s">
        <v>1402</v>
      </c>
    </row>
    <row r="61" spans="2:16">
      <c r="B61" t="s">
        <v>1422</v>
      </c>
      <c r="C61" t="s">
        <v>1425</v>
      </c>
      <c r="D61" t="s">
        <v>1427</v>
      </c>
      <c r="E61">
        <v>0</v>
      </c>
      <c r="F61">
        <v>0</v>
      </c>
      <c r="G61">
        <v>0</v>
      </c>
      <c r="J61">
        <v>0</v>
      </c>
      <c r="K61">
        <v>0</v>
      </c>
      <c r="L61">
        <v>0</v>
      </c>
      <c r="M61">
        <v>0</v>
      </c>
      <c r="N61">
        <v>0</v>
      </c>
      <c r="P61" t="s">
        <v>1402</v>
      </c>
    </row>
    <row r="62" spans="2:16">
      <c r="B62" t="s">
        <v>1422</v>
      </c>
      <c r="C62" t="s">
        <v>1428</v>
      </c>
      <c r="D62" t="s">
        <v>1429</v>
      </c>
      <c r="F62">
        <v>0</v>
      </c>
      <c r="G62">
        <v>0</v>
      </c>
      <c r="J62">
        <v>0</v>
      </c>
      <c r="K62">
        <v>0</v>
      </c>
      <c r="L62">
        <v>0</v>
      </c>
      <c r="M62">
        <v>0</v>
      </c>
      <c r="N62">
        <v>0</v>
      </c>
      <c r="P62" t="s">
        <v>1402</v>
      </c>
    </row>
    <row r="63" spans="2:16">
      <c r="B63" t="s">
        <v>1422</v>
      </c>
      <c r="C63" t="s">
        <v>1430</v>
      </c>
      <c r="D63" t="s">
        <v>1431</v>
      </c>
      <c r="F63">
        <v>500</v>
      </c>
      <c r="H63">
        <v>2</v>
      </c>
      <c r="P63" t="s">
        <v>1402</v>
      </c>
    </row>
    <row r="64" spans="2:16">
      <c r="B64" t="s">
        <v>1432</v>
      </c>
      <c r="C64" t="s">
        <v>1433</v>
      </c>
      <c r="D64" t="s">
        <v>1434</v>
      </c>
      <c r="E64">
        <v>0</v>
      </c>
      <c r="F64" t="s">
        <v>1435</v>
      </c>
      <c r="G64">
        <v>0</v>
      </c>
      <c r="H64">
        <v>5</v>
      </c>
      <c r="I64">
        <v>0</v>
      </c>
      <c r="J64">
        <v>400</v>
      </c>
      <c r="K64">
        <v>0</v>
      </c>
      <c r="L64">
        <v>0</v>
      </c>
      <c r="M64">
        <v>0</v>
      </c>
      <c r="N64">
        <v>0</v>
      </c>
      <c r="O64" t="s">
        <v>1436</v>
      </c>
      <c r="P64" t="s">
        <v>1402</v>
      </c>
    </row>
    <row r="65" spans="2:16">
      <c r="B65" t="s">
        <v>1432</v>
      </c>
      <c r="C65" t="s">
        <v>1437</v>
      </c>
      <c r="D65" t="s">
        <v>1438</v>
      </c>
      <c r="E65">
        <v>0</v>
      </c>
      <c r="F65">
        <v>300</v>
      </c>
      <c r="G65">
        <v>0</v>
      </c>
      <c r="H65">
        <v>2</v>
      </c>
      <c r="I65">
        <v>0</v>
      </c>
      <c r="J65">
        <v>0</v>
      </c>
      <c r="K65">
        <v>0</v>
      </c>
      <c r="L65">
        <v>0</v>
      </c>
      <c r="M65">
        <v>0</v>
      </c>
      <c r="N65">
        <v>0</v>
      </c>
      <c r="O65" t="s">
        <v>1439</v>
      </c>
      <c r="P65" t="s">
        <v>1402</v>
      </c>
    </row>
    <row r="66" spans="2:16">
      <c r="B66" t="s">
        <v>1432</v>
      </c>
      <c r="C66" t="s">
        <v>1440</v>
      </c>
      <c r="D66" t="s">
        <v>1438</v>
      </c>
      <c r="E66">
        <v>0</v>
      </c>
      <c r="F66">
        <v>500</v>
      </c>
      <c r="G66">
        <v>0</v>
      </c>
      <c r="H66">
        <v>2</v>
      </c>
      <c r="I66">
        <v>0</v>
      </c>
      <c r="J66">
        <v>0</v>
      </c>
      <c r="K66">
        <v>0</v>
      </c>
      <c r="L66">
        <v>0</v>
      </c>
      <c r="M66">
        <v>0</v>
      </c>
      <c r="N66">
        <v>0</v>
      </c>
      <c r="O66" t="s">
        <v>1439</v>
      </c>
      <c r="P66" t="s">
        <v>1402</v>
      </c>
    </row>
    <row r="67" spans="2:16">
      <c r="B67" t="s">
        <v>1432</v>
      </c>
      <c r="C67" t="s">
        <v>1441</v>
      </c>
      <c r="D67" t="s">
        <v>1406</v>
      </c>
      <c r="E67">
        <v>0</v>
      </c>
      <c r="F67">
        <v>0</v>
      </c>
      <c r="G67">
        <v>0</v>
      </c>
      <c r="H67">
        <v>0</v>
      </c>
      <c r="I67">
        <v>0</v>
      </c>
      <c r="J67">
        <v>0</v>
      </c>
      <c r="K67">
        <v>0</v>
      </c>
      <c r="L67">
        <v>0</v>
      </c>
      <c r="M67">
        <v>0</v>
      </c>
      <c r="N67">
        <v>0</v>
      </c>
      <c r="P67" t="s">
        <v>1402</v>
      </c>
    </row>
    <row r="68" spans="2:16">
      <c r="B68" t="s">
        <v>1432</v>
      </c>
      <c r="C68" t="s">
        <v>1442</v>
      </c>
      <c r="D68" t="s">
        <v>1443</v>
      </c>
      <c r="E68">
        <v>0</v>
      </c>
      <c r="F68">
        <v>800</v>
      </c>
      <c r="G68">
        <v>0</v>
      </c>
      <c r="H68">
        <v>3</v>
      </c>
      <c r="I68">
        <v>0</v>
      </c>
      <c r="J68">
        <v>0</v>
      </c>
      <c r="K68">
        <v>0</v>
      </c>
      <c r="L68">
        <v>0</v>
      </c>
      <c r="M68">
        <v>0</v>
      </c>
      <c r="N68">
        <v>0</v>
      </c>
      <c r="O68" t="s">
        <v>1444</v>
      </c>
      <c r="P68" t="s">
        <v>1402</v>
      </c>
    </row>
    <row r="69" spans="2:16">
      <c r="B69" t="s">
        <v>1432</v>
      </c>
      <c r="C69" t="s">
        <v>1445</v>
      </c>
      <c r="D69" t="s">
        <v>1446</v>
      </c>
      <c r="E69">
        <v>0</v>
      </c>
      <c r="F69">
        <v>700</v>
      </c>
      <c r="G69">
        <v>0</v>
      </c>
      <c r="H69">
        <v>3</v>
      </c>
      <c r="I69">
        <v>0</v>
      </c>
      <c r="J69">
        <v>0</v>
      </c>
      <c r="K69">
        <v>0</v>
      </c>
      <c r="L69">
        <v>0</v>
      </c>
      <c r="M69">
        <v>0</v>
      </c>
      <c r="N69">
        <v>0</v>
      </c>
      <c r="P69" t="s">
        <v>1402</v>
      </c>
    </row>
    <row r="70" spans="2:16">
      <c r="B70" t="s">
        <v>1432</v>
      </c>
      <c r="C70" t="s">
        <v>1447</v>
      </c>
      <c r="D70" t="s">
        <v>1446</v>
      </c>
      <c r="E70">
        <v>0</v>
      </c>
      <c r="F70" t="s">
        <v>1448</v>
      </c>
      <c r="G70">
        <v>0</v>
      </c>
      <c r="H70">
        <v>4</v>
      </c>
      <c r="I70">
        <v>0</v>
      </c>
      <c r="J70">
        <v>0</v>
      </c>
      <c r="K70">
        <v>0</v>
      </c>
      <c r="P70" t="s">
        <v>1402</v>
      </c>
    </row>
    <row r="71" spans="2:16">
      <c r="B71" t="s">
        <v>1432</v>
      </c>
      <c r="C71" t="s">
        <v>1449</v>
      </c>
      <c r="D71" t="s">
        <v>1450</v>
      </c>
      <c r="F71" t="s">
        <v>1451</v>
      </c>
      <c r="H71">
        <v>10</v>
      </c>
      <c r="P71" t="s">
        <v>1402</v>
      </c>
    </row>
    <row r="72" spans="2:16">
      <c r="B72" t="s">
        <v>1432</v>
      </c>
      <c r="C72" t="s">
        <v>1452</v>
      </c>
      <c r="D72" t="s">
        <v>1446</v>
      </c>
      <c r="E72">
        <v>0</v>
      </c>
      <c r="F72">
        <v>0</v>
      </c>
      <c r="G72">
        <v>0</v>
      </c>
      <c r="H72">
        <v>0</v>
      </c>
      <c r="I72">
        <v>0</v>
      </c>
      <c r="J72">
        <v>0</v>
      </c>
      <c r="K72">
        <v>0</v>
      </c>
      <c r="L72">
        <v>0</v>
      </c>
      <c r="M72">
        <v>0</v>
      </c>
      <c r="N72">
        <v>0</v>
      </c>
      <c r="P72" t="s">
        <v>1402</v>
      </c>
    </row>
    <row r="73" spans="2:16">
      <c r="B73" t="s">
        <v>1432</v>
      </c>
      <c r="C73" t="s">
        <v>1453</v>
      </c>
      <c r="D73" t="s">
        <v>1446</v>
      </c>
      <c r="E73">
        <v>0</v>
      </c>
      <c r="F73">
        <v>500</v>
      </c>
      <c r="G73">
        <v>0</v>
      </c>
      <c r="H73">
        <v>2</v>
      </c>
      <c r="I73">
        <v>0</v>
      </c>
      <c r="J73">
        <v>0</v>
      </c>
      <c r="K73">
        <v>0</v>
      </c>
      <c r="L73">
        <v>0</v>
      </c>
      <c r="M73">
        <v>0</v>
      </c>
      <c r="N73">
        <v>0</v>
      </c>
      <c r="P73" t="s">
        <v>1402</v>
      </c>
    </row>
    <row r="74" spans="2:16">
      <c r="B74" t="s">
        <v>1432</v>
      </c>
      <c r="C74" t="s">
        <v>1454</v>
      </c>
      <c r="D74" t="s">
        <v>1446</v>
      </c>
      <c r="E74">
        <v>0</v>
      </c>
      <c r="F74">
        <v>1000</v>
      </c>
      <c r="G74">
        <v>0</v>
      </c>
      <c r="H74">
        <v>4</v>
      </c>
      <c r="I74">
        <v>0</v>
      </c>
      <c r="J74">
        <v>0</v>
      </c>
      <c r="K74">
        <v>0</v>
      </c>
      <c r="L74">
        <v>0</v>
      </c>
      <c r="M74">
        <v>0</v>
      </c>
      <c r="N74">
        <v>0</v>
      </c>
      <c r="P74" t="s">
        <v>1402</v>
      </c>
    </row>
    <row r="75" spans="2:16">
      <c r="B75" t="s">
        <v>1432</v>
      </c>
      <c r="C75" t="s">
        <v>1455</v>
      </c>
      <c r="D75" t="s">
        <v>1406</v>
      </c>
      <c r="E75">
        <v>0</v>
      </c>
      <c r="F75">
        <v>100</v>
      </c>
      <c r="G75">
        <v>0</v>
      </c>
      <c r="H75">
        <v>2</v>
      </c>
      <c r="I75">
        <v>0</v>
      </c>
      <c r="J75">
        <v>0</v>
      </c>
      <c r="K75">
        <v>0</v>
      </c>
      <c r="L75">
        <v>0</v>
      </c>
      <c r="M75">
        <v>0</v>
      </c>
      <c r="N75">
        <v>0</v>
      </c>
      <c r="P75" t="s">
        <v>1402</v>
      </c>
    </row>
    <row r="76" spans="2:16">
      <c r="B76" t="s">
        <v>1432</v>
      </c>
      <c r="C76" t="s">
        <v>1456</v>
      </c>
      <c r="D76" t="s">
        <v>1457</v>
      </c>
      <c r="E76">
        <v>0</v>
      </c>
      <c r="F76">
        <v>900</v>
      </c>
      <c r="G76">
        <v>0</v>
      </c>
      <c r="H76">
        <v>3</v>
      </c>
      <c r="I76">
        <v>0</v>
      </c>
      <c r="J76">
        <v>0</v>
      </c>
      <c r="K76">
        <v>0</v>
      </c>
      <c r="L76">
        <v>0</v>
      </c>
      <c r="M76">
        <v>0</v>
      </c>
      <c r="N76">
        <v>0</v>
      </c>
      <c r="P76" t="s">
        <v>1402</v>
      </c>
    </row>
    <row r="77" spans="2:16">
      <c r="B77" t="s">
        <v>1432</v>
      </c>
      <c r="C77" t="s">
        <v>1458</v>
      </c>
      <c r="D77" t="s">
        <v>1457</v>
      </c>
      <c r="E77">
        <v>0</v>
      </c>
      <c r="F77">
        <v>600</v>
      </c>
      <c r="G77">
        <v>0</v>
      </c>
      <c r="H77">
        <v>2</v>
      </c>
      <c r="I77">
        <v>0</v>
      </c>
      <c r="J77">
        <v>0</v>
      </c>
      <c r="K77">
        <v>0</v>
      </c>
      <c r="L77">
        <v>0</v>
      </c>
      <c r="M77">
        <v>0</v>
      </c>
      <c r="N77">
        <v>0</v>
      </c>
      <c r="P77" t="s">
        <v>1402</v>
      </c>
    </row>
    <row r="78" spans="2:16">
      <c r="B78" t="s">
        <v>1459</v>
      </c>
      <c r="C78" t="s">
        <v>1460</v>
      </c>
      <c r="D78" t="s">
        <v>1461</v>
      </c>
      <c r="E78">
        <v>0</v>
      </c>
      <c r="F78">
        <v>0</v>
      </c>
      <c r="O78" t="s">
        <v>1462</v>
      </c>
      <c r="P78" t="s">
        <v>1402</v>
      </c>
    </row>
    <row r="79" spans="2:16">
      <c r="B79" t="s">
        <v>1459</v>
      </c>
      <c r="C79" t="s">
        <v>1463</v>
      </c>
      <c r="D79" t="s">
        <v>1406</v>
      </c>
      <c r="E79">
        <v>0</v>
      </c>
      <c r="F79">
        <v>0</v>
      </c>
      <c r="O79" t="s">
        <v>1464</v>
      </c>
      <c r="P79" t="s">
        <v>1402</v>
      </c>
    </row>
    <row r="80" spans="2:16">
      <c r="B80" t="s">
        <v>1459</v>
      </c>
      <c r="C80" t="s">
        <v>1465</v>
      </c>
      <c r="D80" t="s">
        <v>1426</v>
      </c>
      <c r="E80">
        <v>0</v>
      </c>
      <c r="F80">
        <v>0</v>
      </c>
      <c r="G80">
        <v>0</v>
      </c>
      <c r="H80">
        <v>0</v>
      </c>
      <c r="J80">
        <v>0</v>
      </c>
      <c r="K80">
        <v>0</v>
      </c>
      <c r="L80">
        <v>0</v>
      </c>
      <c r="M80">
        <v>0</v>
      </c>
      <c r="N80">
        <v>0</v>
      </c>
      <c r="O80" t="s">
        <v>1466</v>
      </c>
      <c r="P80" t="s">
        <v>1402</v>
      </c>
    </row>
    <row r="81" spans="2:16">
      <c r="B81" t="s">
        <v>1459</v>
      </c>
      <c r="C81" t="s">
        <v>1467</v>
      </c>
      <c r="D81" t="s">
        <v>1418</v>
      </c>
      <c r="E81">
        <v>0</v>
      </c>
      <c r="F81">
        <v>0</v>
      </c>
      <c r="G81">
        <v>0</v>
      </c>
      <c r="I81">
        <v>0</v>
      </c>
      <c r="J81">
        <v>0</v>
      </c>
      <c r="K81">
        <v>0</v>
      </c>
      <c r="L81">
        <v>0</v>
      </c>
      <c r="M81">
        <v>0</v>
      </c>
      <c r="N81">
        <v>0</v>
      </c>
      <c r="O81" t="s">
        <v>1468</v>
      </c>
      <c r="P81" t="s">
        <v>1402</v>
      </c>
    </row>
    <row r="82" spans="2:16">
      <c r="B82" t="s">
        <v>1459</v>
      </c>
      <c r="C82" t="s">
        <v>1469</v>
      </c>
      <c r="D82" t="s">
        <v>1418</v>
      </c>
      <c r="E82">
        <v>0</v>
      </c>
      <c r="F82">
        <v>0</v>
      </c>
      <c r="G82">
        <v>0</v>
      </c>
      <c r="I82">
        <v>0</v>
      </c>
      <c r="J82">
        <v>0</v>
      </c>
      <c r="K82">
        <v>0</v>
      </c>
      <c r="O82" t="s">
        <v>1470</v>
      </c>
      <c r="P82" t="s">
        <v>1402</v>
      </c>
    </row>
    <row r="83" spans="2:16">
      <c r="B83" t="s">
        <v>1459</v>
      </c>
      <c r="C83" t="s">
        <v>1471</v>
      </c>
      <c r="D83" t="s">
        <v>1404</v>
      </c>
      <c r="E83">
        <v>0</v>
      </c>
      <c r="F83">
        <v>0</v>
      </c>
      <c r="P83" t="s">
        <v>1402</v>
      </c>
    </row>
    <row r="84" spans="2:16">
      <c r="B84" t="s">
        <v>1459</v>
      </c>
      <c r="C84" t="s">
        <v>1472</v>
      </c>
      <c r="D84" t="s">
        <v>1429</v>
      </c>
      <c r="E84">
        <v>0</v>
      </c>
      <c r="F84">
        <v>0</v>
      </c>
      <c r="P84" t="s">
        <v>1402</v>
      </c>
    </row>
    <row r="85" spans="2:16">
      <c r="B85" t="s">
        <v>1459</v>
      </c>
      <c r="C85" t="s">
        <v>1473</v>
      </c>
      <c r="D85" t="s">
        <v>1406</v>
      </c>
      <c r="E85">
        <v>0</v>
      </c>
      <c r="F85">
        <v>0</v>
      </c>
      <c r="O85" t="s">
        <v>1466</v>
      </c>
      <c r="P85" t="s">
        <v>1402</v>
      </c>
    </row>
    <row r="86" spans="2:16">
      <c r="B86" t="s">
        <v>1459</v>
      </c>
      <c r="C86" t="s">
        <v>1474</v>
      </c>
      <c r="D86" t="s">
        <v>1475</v>
      </c>
      <c r="E86">
        <v>0</v>
      </c>
      <c r="F86">
        <v>0</v>
      </c>
      <c r="P86" t="s">
        <v>1402</v>
      </c>
    </row>
    <row r="87" spans="2:16">
      <c r="B87" t="s">
        <v>1459</v>
      </c>
      <c r="C87" t="s">
        <v>1476</v>
      </c>
      <c r="D87" t="s">
        <v>1477</v>
      </c>
      <c r="E87">
        <v>0</v>
      </c>
      <c r="F87">
        <v>0</v>
      </c>
      <c r="P87" t="s">
        <v>1402</v>
      </c>
    </row>
    <row r="88" spans="2:16">
      <c r="B88" t="s">
        <v>1459</v>
      </c>
      <c r="C88" t="s">
        <v>1478</v>
      </c>
      <c r="D88" t="s">
        <v>1429</v>
      </c>
      <c r="E88">
        <v>0</v>
      </c>
      <c r="F88">
        <v>0</v>
      </c>
      <c r="P88" t="s">
        <v>1402</v>
      </c>
    </row>
    <row r="89" spans="2:16">
      <c r="B89" t="s">
        <v>1459</v>
      </c>
      <c r="C89" t="s">
        <v>1479</v>
      </c>
      <c r="D89" t="s">
        <v>1429</v>
      </c>
      <c r="E89">
        <v>0</v>
      </c>
      <c r="F89">
        <v>0</v>
      </c>
      <c r="P89" t="s">
        <v>1402</v>
      </c>
    </row>
    <row r="90" spans="2:16">
      <c r="B90" t="s">
        <v>1459</v>
      </c>
      <c r="C90" t="s">
        <v>1480</v>
      </c>
      <c r="D90" t="s">
        <v>1404</v>
      </c>
      <c r="E90">
        <v>0</v>
      </c>
      <c r="F90">
        <v>0</v>
      </c>
      <c r="P90" t="s">
        <v>1402</v>
      </c>
    </row>
    <row r="91" spans="2:16">
      <c r="B91" t="s">
        <v>1459</v>
      </c>
      <c r="C91" t="s">
        <v>1481</v>
      </c>
      <c r="D91" t="s">
        <v>1446</v>
      </c>
      <c r="E91">
        <v>0</v>
      </c>
      <c r="F91">
        <v>0</v>
      </c>
      <c r="P91" t="s">
        <v>1402</v>
      </c>
    </row>
    <row r="92" spans="2:16">
      <c r="B92" t="s">
        <v>1459</v>
      </c>
      <c r="C92" t="s">
        <v>1482</v>
      </c>
      <c r="D92" t="s">
        <v>1461</v>
      </c>
      <c r="E92">
        <v>0</v>
      </c>
      <c r="F92">
        <v>0</v>
      </c>
      <c r="O92" t="s">
        <v>1483</v>
      </c>
      <c r="P92" t="s">
        <v>1402</v>
      </c>
    </row>
    <row r="93" spans="2:16">
      <c r="B93" t="s">
        <v>1459</v>
      </c>
      <c r="C93" t="s">
        <v>1484</v>
      </c>
      <c r="D93" t="s">
        <v>1475</v>
      </c>
      <c r="E93">
        <v>0</v>
      </c>
      <c r="F93">
        <v>0</v>
      </c>
      <c r="O93" t="s">
        <v>1483</v>
      </c>
      <c r="P93" t="s">
        <v>1402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I46"/>
  <sheetViews>
    <sheetView tabSelected="1" topLeftCell="A7" workbookViewId="0">
      <selection activeCell="D24" sqref="D24"/>
    </sheetView>
  </sheetViews>
  <sheetFormatPr defaultRowHeight="12.5"/>
  <cols>
    <col min="1" max="1" width="39.26953125" customWidth="1"/>
    <col min="2" max="2" width="11.1796875" customWidth="1"/>
    <col min="3" max="3" width="15.453125" customWidth="1"/>
    <col min="4" max="4" width="13.90625" customWidth="1"/>
    <col min="5" max="5" width="26.36328125" customWidth="1"/>
    <col min="6" max="6" width="19.453125" customWidth="1"/>
    <col min="7" max="7" width="17.90625" customWidth="1"/>
    <col min="8" max="8" width="15.81640625" bestFit="1" customWidth="1"/>
    <col min="9" max="9" width="8.7265625" customWidth="1"/>
  </cols>
  <sheetData>
    <row r="3" spans="2:9" ht="37.5" customHeight="1">
      <c r="B3" s="13" t="s">
        <v>1485</v>
      </c>
      <c r="C3" s="13" t="s">
        <v>30</v>
      </c>
      <c r="D3" s="13" t="s">
        <v>31</v>
      </c>
      <c r="E3" s="13" t="s">
        <v>32</v>
      </c>
      <c r="F3" s="13" t="s">
        <v>1486</v>
      </c>
      <c r="G3" s="41" t="s">
        <v>1487</v>
      </c>
      <c r="H3" s="41" t="s">
        <v>1488</v>
      </c>
      <c r="I3" s="41" t="s">
        <v>1489</v>
      </c>
    </row>
    <row r="4" spans="2:9">
      <c r="B4" s="14"/>
      <c r="C4" s="14"/>
      <c r="D4" s="14"/>
      <c r="E4" s="14"/>
      <c r="F4" s="14"/>
      <c r="G4" s="14"/>
      <c r="H4" s="14"/>
      <c r="I4" s="14"/>
    </row>
    <row r="5" spans="2:9">
      <c r="B5">
        <v>1</v>
      </c>
      <c r="C5" t="s">
        <v>525</v>
      </c>
      <c r="D5" t="s">
        <v>526</v>
      </c>
      <c r="E5" t="s">
        <v>1198</v>
      </c>
      <c r="F5">
        <v>220</v>
      </c>
      <c r="G5">
        <v>2000</v>
      </c>
    </row>
    <row r="6" spans="2:9">
      <c r="B6">
        <v>2</v>
      </c>
      <c r="C6" t="s">
        <v>525</v>
      </c>
      <c r="D6" t="s">
        <v>526</v>
      </c>
      <c r="E6" t="s">
        <v>1193</v>
      </c>
      <c r="F6">
        <v>400</v>
      </c>
      <c r="G6">
        <v>6000</v>
      </c>
    </row>
    <row r="7" spans="2:9">
      <c r="B7">
        <v>2</v>
      </c>
      <c r="C7" t="s">
        <v>525</v>
      </c>
      <c r="D7" t="s">
        <v>526</v>
      </c>
      <c r="E7" t="s">
        <v>1193</v>
      </c>
      <c r="F7">
        <v>220</v>
      </c>
      <c r="G7">
        <v>4000</v>
      </c>
    </row>
    <row r="8" spans="2:9">
      <c r="B8">
        <v>3</v>
      </c>
      <c r="C8" t="s">
        <v>525</v>
      </c>
      <c r="D8" t="s">
        <v>526</v>
      </c>
      <c r="E8" t="s">
        <v>1196</v>
      </c>
      <c r="F8">
        <v>400</v>
      </c>
      <c r="G8">
        <v>1500</v>
      </c>
      <c r="H8">
        <v>1500</v>
      </c>
    </row>
    <row r="9" spans="2:9">
      <c r="B9">
        <v>3</v>
      </c>
      <c r="C9" t="s">
        <v>525</v>
      </c>
      <c r="D9" t="s">
        <v>526</v>
      </c>
      <c r="E9" t="s">
        <v>1196</v>
      </c>
      <c r="F9">
        <v>220</v>
      </c>
      <c r="G9">
        <v>2000</v>
      </c>
    </row>
    <row r="10" spans="2:9">
      <c r="B10">
        <v>4</v>
      </c>
      <c r="C10" t="s">
        <v>525</v>
      </c>
      <c r="D10" t="s">
        <v>526</v>
      </c>
      <c r="E10" t="s">
        <v>1490</v>
      </c>
      <c r="F10">
        <v>220</v>
      </c>
      <c r="G10">
        <v>630</v>
      </c>
    </row>
    <row r="11" spans="2:9">
      <c r="B11">
        <v>6</v>
      </c>
      <c r="C11" t="s">
        <v>525</v>
      </c>
      <c r="D11" t="s">
        <v>526</v>
      </c>
      <c r="E11" t="s">
        <v>1491</v>
      </c>
      <c r="F11">
        <v>400</v>
      </c>
      <c r="H11">
        <v>3000</v>
      </c>
    </row>
    <row r="12" spans="2:9">
      <c r="B12">
        <v>7</v>
      </c>
      <c r="C12" t="s">
        <v>525</v>
      </c>
      <c r="D12" t="s">
        <v>526</v>
      </c>
      <c r="E12" t="s">
        <v>1492</v>
      </c>
      <c r="F12">
        <v>220</v>
      </c>
      <c r="G12">
        <v>1000</v>
      </c>
    </row>
    <row r="13" spans="2:9">
      <c r="B13">
        <v>8</v>
      </c>
      <c r="C13" t="s">
        <v>525</v>
      </c>
      <c r="D13" t="s">
        <v>591</v>
      </c>
      <c r="E13" t="s">
        <v>1333</v>
      </c>
      <c r="F13">
        <v>220</v>
      </c>
      <c r="G13">
        <v>630</v>
      </c>
      <c r="I13">
        <v>500</v>
      </c>
    </row>
    <row r="14" spans="2:9">
      <c r="B14">
        <v>9</v>
      </c>
      <c r="C14" t="s">
        <v>525</v>
      </c>
      <c r="D14" t="s">
        <v>591</v>
      </c>
      <c r="E14" t="s">
        <v>1327</v>
      </c>
      <c r="F14">
        <v>220</v>
      </c>
      <c r="G14">
        <v>4500</v>
      </c>
    </row>
    <row r="15" spans="2:9">
      <c r="B15">
        <v>10</v>
      </c>
      <c r="C15" t="s">
        <v>525</v>
      </c>
      <c r="D15" t="s">
        <v>1000</v>
      </c>
      <c r="E15" t="s">
        <v>1202</v>
      </c>
      <c r="F15">
        <v>220</v>
      </c>
      <c r="H15">
        <v>1500</v>
      </c>
    </row>
    <row r="16" spans="2:9">
      <c r="B16">
        <v>11</v>
      </c>
      <c r="C16" t="s">
        <v>525</v>
      </c>
      <c r="D16" t="s">
        <v>1000</v>
      </c>
      <c r="E16" t="s">
        <v>1204</v>
      </c>
      <c r="F16">
        <v>220</v>
      </c>
      <c r="H16">
        <v>1000</v>
      </c>
    </row>
    <row r="17" spans="2:9">
      <c r="B17">
        <v>12</v>
      </c>
      <c r="C17" t="s">
        <v>525</v>
      </c>
      <c r="D17" t="s">
        <v>1000</v>
      </c>
      <c r="E17" t="s">
        <v>1324</v>
      </c>
      <c r="F17">
        <v>220</v>
      </c>
      <c r="G17">
        <v>1130</v>
      </c>
    </row>
    <row r="18" spans="2:9">
      <c r="B18">
        <v>13</v>
      </c>
      <c r="C18" t="s">
        <v>525</v>
      </c>
      <c r="D18" t="s">
        <v>1341</v>
      </c>
      <c r="E18" t="s">
        <v>1493</v>
      </c>
      <c r="F18">
        <v>220</v>
      </c>
      <c r="G18">
        <v>945</v>
      </c>
    </row>
    <row r="19" spans="2:9">
      <c r="B19">
        <v>15</v>
      </c>
      <c r="C19" t="s">
        <v>525</v>
      </c>
      <c r="D19" t="s">
        <v>656</v>
      </c>
      <c r="E19" t="s">
        <v>1205</v>
      </c>
      <c r="F19">
        <v>400</v>
      </c>
      <c r="G19">
        <v>3000</v>
      </c>
    </row>
    <row r="20" spans="2:9">
      <c r="B20">
        <v>15</v>
      </c>
      <c r="C20" t="s">
        <v>525</v>
      </c>
      <c r="D20" t="s">
        <v>656</v>
      </c>
      <c r="E20" t="s">
        <v>1205</v>
      </c>
      <c r="F20">
        <v>220</v>
      </c>
      <c r="G20">
        <v>630</v>
      </c>
    </row>
    <row r="21" spans="2:9">
      <c r="B21">
        <v>15</v>
      </c>
      <c r="C21" t="s">
        <v>525</v>
      </c>
      <c r="D21" t="s">
        <v>656</v>
      </c>
      <c r="E21" t="s">
        <v>1205</v>
      </c>
      <c r="F21">
        <v>220</v>
      </c>
      <c r="G21">
        <v>500</v>
      </c>
    </row>
    <row r="22" spans="2:9">
      <c r="B22">
        <v>16</v>
      </c>
      <c r="C22" t="s">
        <v>417</v>
      </c>
      <c r="D22" t="s">
        <v>661</v>
      </c>
      <c r="E22" t="s">
        <v>1128</v>
      </c>
      <c r="F22">
        <v>230</v>
      </c>
      <c r="G22">
        <v>1500</v>
      </c>
      <c r="H22">
        <v>1000</v>
      </c>
    </row>
    <row r="23" spans="2:9">
      <c r="B23">
        <v>17</v>
      </c>
      <c r="C23" t="s">
        <v>417</v>
      </c>
      <c r="D23" t="s">
        <v>515</v>
      </c>
      <c r="E23" t="s">
        <v>522</v>
      </c>
      <c r="F23">
        <v>230</v>
      </c>
      <c r="G23">
        <v>1130</v>
      </c>
    </row>
    <row r="24" spans="2:9">
      <c r="B24">
        <v>18</v>
      </c>
      <c r="C24" t="s">
        <v>417</v>
      </c>
      <c r="D24" t="s">
        <v>1350</v>
      </c>
      <c r="E24" t="s">
        <v>1351</v>
      </c>
      <c r="F24">
        <v>220</v>
      </c>
      <c r="G24">
        <v>630</v>
      </c>
      <c r="H24">
        <v>500</v>
      </c>
    </row>
    <row r="25" spans="2:9">
      <c r="B25">
        <v>19</v>
      </c>
      <c r="C25" t="s">
        <v>417</v>
      </c>
      <c r="D25" t="s">
        <v>997</v>
      </c>
      <c r="E25" t="s">
        <v>1124</v>
      </c>
      <c r="F25">
        <v>220</v>
      </c>
      <c r="G25">
        <v>2000</v>
      </c>
    </row>
    <row r="26" spans="2:9">
      <c r="B26">
        <v>21</v>
      </c>
      <c r="C26" t="s">
        <v>417</v>
      </c>
      <c r="D26" t="s">
        <v>682</v>
      </c>
      <c r="E26" t="s">
        <v>688</v>
      </c>
      <c r="F26">
        <v>220</v>
      </c>
      <c r="G26">
        <v>630</v>
      </c>
      <c r="H26">
        <v>500</v>
      </c>
    </row>
    <row r="27" spans="2:9">
      <c r="B27">
        <v>22</v>
      </c>
      <c r="C27" t="s">
        <v>417</v>
      </c>
      <c r="D27" t="s">
        <v>997</v>
      </c>
      <c r="E27" t="s">
        <v>992</v>
      </c>
      <c r="F27">
        <v>400</v>
      </c>
      <c r="G27">
        <v>3000</v>
      </c>
    </row>
    <row r="28" spans="2:9">
      <c r="B28">
        <v>23</v>
      </c>
      <c r="C28" t="s">
        <v>417</v>
      </c>
      <c r="D28" t="s">
        <v>682</v>
      </c>
      <c r="E28" t="s">
        <v>995</v>
      </c>
      <c r="F28">
        <v>220</v>
      </c>
      <c r="H28">
        <v>2500</v>
      </c>
    </row>
    <row r="29" spans="2:9">
      <c r="B29">
        <v>24</v>
      </c>
      <c r="C29" t="s">
        <v>417</v>
      </c>
      <c r="D29" t="s">
        <v>661</v>
      </c>
      <c r="E29" t="s">
        <v>1131</v>
      </c>
      <c r="F29">
        <v>230</v>
      </c>
      <c r="H29">
        <v>2500</v>
      </c>
    </row>
    <row r="30" spans="2:9">
      <c r="B30">
        <v>25</v>
      </c>
      <c r="C30" t="s">
        <v>417</v>
      </c>
      <c r="D30" t="s">
        <v>682</v>
      </c>
      <c r="E30" t="s">
        <v>994</v>
      </c>
      <c r="F30">
        <v>220</v>
      </c>
      <c r="H30">
        <v>2500</v>
      </c>
    </row>
    <row r="31" spans="2:9">
      <c r="B31">
        <v>27</v>
      </c>
      <c r="C31" t="s">
        <v>417</v>
      </c>
      <c r="D31" t="s">
        <v>682</v>
      </c>
      <c r="E31" t="s">
        <v>1017</v>
      </c>
      <c r="F31">
        <v>220</v>
      </c>
      <c r="I31">
        <v>2000</v>
      </c>
    </row>
    <row r="32" spans="2:9">
      <c r="B32">
        <v>29</v>
      </c>
      <c r="C32" t="s">
        <v>68</v>
      </c>
      <c r="D32" t="s">
        <v>69</v>
      </c>
      <c r="E32" t="s">
        <v>241</v>
      </c>
      <c r="F32">
        <v>400</v>
      </c>
      <c r="G32">
        <v>3000</v>
      </c>
      <c r="H32">
        <v>1500</v>
      </c>
      <c r="I32">
        <v>1500</v>
      </c>
    </row>
    <row r="33" spans="2:9">
      <c r="B33">
        <v>29</v>
      </c>
      <c r="C33" t="s">
        <v>68</v>
      </c>
      <c r="D33" t="s">
        <v>69</v>
      </c>
      <c r="E33" t="s">
        <v>241</v>
      </c>
      <c r="F33">
        <v>220</v>
      </c>
      <c r="G33">
        <v>1000</v>
      </c>
      <c r="H33">
        <v>500</v>
      </c>
    </row>
    <row r="34" spans="2:9">
      <c r="B34">
        <v>30</v>
      </c>
      <c r="C34" t="s">
        <v>68</v>
      </c>
      <c r="D34" t="s">
        <v>69</v>
      </c>
      <c r="E34" t="s">
        <v>1055</v>
      </c>
    </row>
    <row r="35" spans="2:9">
      <c r="B35">
        <v>31</v>
      </c>
      <c r="C35" t="s">
        <v>68</v>
      </c>
      <c r="D35" t="s">
        <v>69</v>
      </c>
      <c r="E35" t="s">
        <v>1494</v>
      </c>
      <c r="F35">
        <v>400</v>
      </c>
      <c r="G35">
        <v>3000</v>
      </c>
      <c r="H35">
        <v>3000</v>
      </c>
      <c r="I35">
        <v>1500</v>
      </c>
    </row>
    <row r="36" spans="2:9">
      <c r="B36">
        <v>31</v>
      </c>
      <c r="C36" t="s">
        <v>68</v>
      </c>
      <c r="D36" t="s">
        <v>69</v>
      </c>
      <c r="E36" t="s">
        <v>1494</v>
      </c>
      <c r="F36">
        <v>220</v>
      </c>
      <c r="G36">
        <v>1500</v>
      </c>
      <c r="H36">
        <v>2500</v>
      </c>
    </row>
    <row r="37" spans="2:9">
      <c r="B37">
        <v>32</v>
      </c>
      <c r="C37" t="s">
        <v>68</v>
      </c>
      <c r="D37" t="s">
        <v>69</v>
      </c>
      <c r="E37" t="s">
        <v>306</v>
      </c>
      <c r="F37">
        <v>400</v>
      </c>
      <c r="G37">
        <v>6000</v>
      </c>
      <c r="H37">
        <v>3000</v>
      </c>
    </row>
    <row r="38" spans="2:9">
      <c r="B38">
        <v>32</v>
      </c>
      <c r="C38" t="s">
        <v>68</v>
      </c>
      <c r="D38" t="s">
        <v>69</v>
      </c>
      <c r="E38" t="s">
        <v>306</v>
      </c>
      <c r="F38">
        <v>220</v>
      </c>
      <c r="G38">
        <v>2500</v>
      </c>
      <c r="H38">
        <v>2000</v>
      </c>
      <c r="I38">
        <v>1000</v>
      </c>
    </row>
    <row r="39" spans="2:9">
      <c r="B39">
        <v>34</v>
      </c>
      <c r="C39" t="s">
        <v>68</v>
      </c>
      <c r="D39" t="s">
        <v>69</v>
      </c>
      <c r="E39" t="s">
        <v>675</v>
      </c>
      <c r="F39">
        <v>220</v>
      </c>
      <c r="H39">
        <v>1000</v>
      </c>
      <c r="I39">
        <v>2500</v>
      </c>
    </row>
    <row r="40" spans="2:9">
      <c r="B40">
        <v>35</v>
      </c>
      <c r="C40" t="s">
        <v>68</v>
      </c>
      <c r="D40" t="s">
        <v>69</v>
      </c>
      <c r="E40" t="s">
        <v>1005</v>
      </c>
      <c r="F40">
        <v>220</v>
      </c>
      <c r="I40">
        <v>2500</v>
      </c>
    </row>
    <row r="41" spans="2:9">
      <c r="B41">
        <v>36</v>
      </c>
      <c r="C41" t="s">
        <v>68</v>
      </c>
      <c r="D41" t="s">
        <v>69</v>
      </c>
      <c r="E41" t="s">
        <v>1495</v>
      </c>
      <c r="F41">
        <v>400</v>
      </c>
      <c r="I41">
        <v>3000</v>
      </c>
    </row>
    <row r="42" spans="2:9">
      <c r="B42">
        <v>36</v>
      </c>
      <c r="C42" t="s">
        <v>68</v>
      </c>
      <c r="D42" t="s">
        <v>69</v>
      </c>
      <c r="E42" t="s">
        <v>1495</v>
      </c>
      <c r="F42">
        <v>220</v>
      </c>
      <c r="I42">
        <v>5000</v>
      </c>
    </row>
    <row r="43" spans="2:9">
      <c r="B43">
        <v>37</v>
      </c>
      <c r="C43" t="s">
        <v>68</v>
      </c>
      <c r="D43" t="s">
        <v>69</v>
      </c>
      <c r="E43" t="s">
        <v>385</v>
      </c>
      <c r="F43">
        <v>400</v>
      </c>
      <c r="I43">
        <v>4500</v>
      </c>
    </row>
    <row r="44" spans="2:9">
      <c r="B44">
        <v>37</v>
      </c>
      <c r="C44" t="s">
        <v>68</v>
      </c>
      <c r="D44" t="s">
        <v>69</v>
      </c>
      <c r="E44" t="s">
        <v>385</v>
      </c>
      <c r="F44">
        <v>220</v>
      </c>
      <c r="I44">
        <v>1000</v>
      </c>
    </row>
    <row r="45" spans="2:9">
      <c r="B45">
        <v>38</v>
      </c>
      <c r="C45" t="s">
        <v>68</v>
      </c>
      <c r="D45" t="s">
        <v>69</v>
      </c>
      <c r="E45" t="s">
        <v>1496</v>
      </c>
      <c r="F45">
        <v>400</v>
      </c>
      <c r="I45">
        <v>9000</v>
      </c>
    </row>
    <row r="46" spans="2:9">
      <c r="B46">
        <v>38</v>
      </c>
      <c r="C46" t="s">
        <v>68</v>
      </c>
      <c r="D46" t="s">
        <v>69</v>
      </c>
      <c r="E46" t="s">
        <v>1496</v>
      </c>
      <c r="F46">
        <v>220</v>
      </c>
      <c r="I46">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D6"/>
  <sheetViews>
    <sheetView zoomScale="83" workbookViewId="0">
      <selection activeCell="A7" sqref="A7"/>
    </sheetView>
  </sheetViews>
  <sheetFormatPr defaultRowHeight="12.5"/>
  <cols>
    <col min="1" max="1" width="37.81640625" customWidth="1"/>
    <col min="2" max="2" width="20.54296875" customWidth="1"/>
    <col min="3" max="3" width="21.26953125" customWidth="1"/>
    <col min="4" max="4" width="12.54296875" customWidth="1"/>
    <col min="5" max="16" width="15.453125" customWidth="1"/>
    <col min="22" max="22" width="11.1796875" customWidth="1"/>
    <col min="26" max="26" width="10.453125" customWidth="1"/>
    <col min="27" max="27" width="10" customWidth="1"/>
    <col min="28" max="28" width="12.7265625" bestFit="1" customWidth="1"/>
    <col min="29" max="29" width="16" bestFit="1" customWidth="1"/>
    <col min="30" max="30" width="10" customWidth="1"/>
  </cols>
  <sheetData>
    <row r="2" spans="1:30" ht="46.5" customHeight="1">
      <c r="B2" s="1" t="s">
        <v>1497</v>
      </c>
      <c r="C2" s="1" t="s">
        <v>1498</v>
      </c>
      <c r="D2" s="1" t="s">
        <v>989</v>
      </c>
      <c r="E2" s="1" t="s">
        <v>1499</v>
      </c>
      <c r="F2" s="1" t="s">
        <v>1500</v>
      </c>
      <c r="G2" s="1" t="s">
        <v>1501</v>
      </c>
      <c r="H2" s="1" t="s">
        <v>1502</v>
      </c>
      <c r="I2" s="1" t="s">
        <v>1503</v>
      </c>
      <c r="J2" s="1" t="s">
        <v>1504</v>
      </c>
      <c r="K2" s="1" t="s">
        <v>1505</v>
      </c>
      <c r="L2" s="1" t="s">
        <v>1506</v>
      </c>
      <c r="M2" s="1" t="s">
        <v>1507</v>
      </c>
      <c r="N2" s="1" t="s">
        <v>1508</v>
      </c>
      <c r="O2" s="1" t="s">
        <v>1509</v>
      </c>
      <c r="P2" s="1" t="s">
        <v>1510</v>
      </c>
      <c r="Q2" s="4" t="s">
        <v>1511</v>
      </c>
      <c r="R2" s="4"/>
      <c r="S2" s="4"/>
      <c r="T2" s="4"/>
      <c r="U2" s="4"/>
      <c r="V2" s="4"/>
      <c r="W2" s="4"/>
      <c r="X2" s="4"/>
      <c r="Y2" s="4" t="s">
        <v>1512</v>
      </c>
      <c r="Z2" s="4"/>
      <c r="AA2" s="4"/>
      <c r="AB2" s="4" t="s">
        <v>1513</v>
      </c>
      <c r="AC2" s="4" t="s">
        <v>1514</v>
      </c>
      <c r="AD2" s="4" t="s">
        <v>67</v>
      </c>
    </row>
    <row r="3" spans="1:30" ht="62" customHeight="1">
      <c r="B3" s="2"/>
      <c r="C3" s="2"/>
      <c r="D3" s="2"/>
      <c r="E3" s="2"/>
      <c r="F3" s="2"/>
      <c r="G3" s="2"/>
      <c r="H3" s="2"/>
      <c r="I3" s="2"/>
      <c r="J3" s="2"/>
      <c r="K3" s="2"/>
      <c r="L3" s="2"/>
      <c r="M3" s="2"/>
      <c r="N3" s="2"/>
      <c r="O3" s="2"/>
      <c r="P3" s="2"/>
      <c r="Q3" s="6" t="s">
        <v>1515</v>
      </c>
      <c r="R3" s="6" t="s">
        <v>1516</v>
      </c>
      <c r="S3" s="6" t="s">
        <v>1517</v>
      </c>
      <c r="T3" s="6" t="s">
        <v>1518</v>
      </c>
      <c r="U3" s="6" t="s">
        <v>1519</v>
      </c>
      <c r="V3" s="6" t="s">
        <v>1520</v>
      </c>
      <c r="W3" s="6" t="s">
        <v>1521</v>
      </c>
      <c r="X3" s="6" t="s">
        <v>1522</v>
      </c>
      <c r="Y3" s="6" t="s">
        <v>1523</v>
      </c>
      <c r="Z3" s="6" t="s">
        <v>1524</v>
      </c>
      <c r="AA3" s="6" t="s">
        <v>1525</v>
      </c>
      <c r="AB3" s="2"/>
      <c r="AC3" s="2"/>
      <c r="AD3" s="2"/>
    </row>
    <row r="4" spans="1:30">
      <c r="B4" s="14"/>
      <c r="C4" s="14"/>
      <c r="D4" s="14"/>
      <c r="E4" s="14"/>
      <c r="F4" s="14"/>
      <c r="G4" s="14"/>
      <c r="H4" s="14"/>
      <c r="I4" s="14"/>
      <c r="J4" s="14"/>
      <c r="K4" s="14"/>
      <c r="L4" s="14"/>
      <c r="M4" s="14">
        <v>24</v>
      </c>
      <c r="N4" s="15">
        <f ca="1">DATE(YEAR(TODAY()), MONTH(TODAY()+M4), DAY(TODAY()))</f>
        <v>46028</v>
      </c>
      <c r="O4" s="14"/>
      <c r="P4" s="14"/>
      <c r="Q4" s="14"/>
      <c r="R4" s="14"/>
      <c r="S4" s="14"/>
      <c r="T4" s="14"/>
      <c r="U4" s="14"/>
      <c r="V4" s="16" t="e">
        <f>S4/$R$4</f>
        <v>#DIV/0!</v>
      </c>
      <c r="W4" s="16" t="e">
        <f>T4/$R$4</f>
        <v>#DIV/0!</v>
      </c>
      <c r="X4" s="16" t="e">
        <f>U4/$Q$4</f>
        <v>#DIV/0!</v>
      </c>
      <c r="Y4" s="14"/>
      <c r="Z4" s="14"/>
      <c r="AA4" s="14"/>
      <c r="AB4" s="14"/>
      <c r="AC4" s="14"/>
      <c r="AD4" s="14"/>
    </row>
    <row r="5" spans="1:30">
      <c r="B5" s="14"/>
      <c r="C5" s="14"/>
      <c r="D5" s="14"/>
      <c r="E5" s="14"/>
      <c r="F5" s="14"/>
      <c r="G5" s="14"/>
      <c r="H5" s="14"/>
      <c r="I5" s="14"/>
      <c r="J5" s="14"/>
      <c r="K5" s="14"/>
      <c r="L5" s="15">
        <f ca="1">TODAY()</f>
        <v>46028</v>
      </c>
      <c r="M5" s="14">
        <v>21</v>
      </c>
      <c r="N5" s="15">
        <f ca="1">DATE(YEAR(L5),MONTH(L5)+M5,DAY(L5))</f>
        <v>46666</v>
      </c>
      <c r="O5" s="14"/>
      <c r="P5" s="14"/>
      <c r="Q5" s="14"/>
      <c r="R5" s="14"/>
      <c r="S5" s="14"/>
      <c r="T5" s="14"/>
      <c r="U5" s="14"/>
      <c r="V5" s="14"/>
      <c r="W5" s="14"/>
      <c r="X5" s="14"/>
      <c r="Y5" s="14"/>
      <c r="Z5" s="14"/>
      <c r="AA5" s="14"/>
      <c r="AB5" s="14"/>
      <c r="AC5" s="14"/>
      <c r="AD5" s="14"/>
    </row>
    <row r="6" spans="1:30">
      <c r="A6" t="s">
        <v>1526</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Sources</vt:lpstr>
      <vt:lpstr>Data to be captured</vt:lpstr>
      <vt:lpstr>RE Potential</vt:lpstr>
      <vt:lpstr>Margin</vt:lpstr>
      <vt:lpstr>Non RE proposed RE Integration</vt:lpstr>
      <vt:lpstr>Transformation Capacity</vt:lpstr>
      <vt:lpstr>Element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dc:creator>
  <cp:lastModifiedBy>Admin</cp:lastModifiedBy>
  <dcterms:created xsi:type="dcterms:W3CDTF">2025-08-25T12:15:10Z</dcterms:created>
  <dcterms:modified xsi:type="dcterms:W3CDTF">2026-01-06T12:59:49Z</dcterms:modified>
</cp:coreProperties>
</file>