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C:\Users\Admin\Documents\CTU-automated-pdf-extraction\"/>
    </mc:Choice>
  </mc:AlternateContent>
  <xr:revisionPtr revIDLastSave="0" documentId="13_ncr:1_{93662958-8F8F-4955-B491-D508AF8F2483}" xr6:coauthVersionLast="47" xr6:coauthVersionMax="47" xr10:uidLastSave="{00000000-0000-0000-0000-000000000000}"/>
  <bookViews>
    <workbookView xWindow="-110" yWindow="-110" windowWidth="19420" windowHeight="10300" firstSheet="3" activeTab="1" xr2:uid="{00000000-000D-0000-FFFF-FFFF00000000}"/>
  </bookViews>
  <sheets>
    <sheet name="Data Sources" sheetId="1" r:id="rId1"/>
    <sheet name="Data to be captured" sheetId="2" r:id="rId2"/>
    <sheet name="RE Potential" sheetId="3" r:id="rId3"/>
    <sheet name="Margin" sheetId="4" r:id="rId4"/>
    <sheet name="Non RE proposed RE Integration" sheetId="5" r:id="rId5"/>
    <sheet name="Transformation Capacity" sheetId="6" r:id="rId6"/>
    <sheet name="Element Statu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7" l="1"/>
  <c r="N5" i="7" s="1"/>
  <c r="X4" i="7"/>
  <c r="W4" i="7"/>
  <c r="V4" i="7"/>
  <c r="N4" i="7"/>
</calcChain>
</file>

<file path=xl/sharedStrings.xml><?xml version="1.0" encoding="utf-8"?>
<sst xmlns="http://schemas.openxmlformats.org/spreadsheetml/2006/main" count="431" uniqueCount="215">
  <si>
    <t>SN</t>
  </si>
  <si>
    <t>Connectivity Application Status</t>
  </si>
  <si>
    <t>Frequency</t>
  </si>
  <si>
    <t>CTU | Central Transmission Utility of India Limited CMETS (Agenda and Minutes: Region wise) link:https://ctuil.in/ists-consultation-meeting</t>
  </si>
  <si>
    <t>Daily</t>
  </si>
  <si>
    <t>CTU | Central Transmission Utility of India Limited JCC (Region wise as per document release Agenda/Minutes) link  https://ctuil.in/ists-joint-coordination-meeting</t>
  </si>
  <si>
    <t>Status of effectiveness of connectivity granted to RE generators (Effective date of connectivity wise) link</t>
  </si>
  <si>
    <t>CTU | Central Transmission Utility of India Limited Re-allocation meetings (Agenda and Minutes: Region wise) link</t>
  </si>
  <si>
    <t>Weekly</t>
  </si>
  <si>
    <t>CTU | Central Transmission Utility of India Limited Bidding Calendar link</t>
  </si>
  <si>
    <t>Transmission Reports - Central Electricity Authority TBCB report from CEA transmission (monthly comparison) link</t>
  </si>
  <si>
    <t>CTUIL (OPEN ACCESS) (Compliance of Land and Financial Closure) link</t>
  </si>
  <si>
    <t>Monitoring of Connectivity (all 3 Annexures and monthly document release comparison) link</t>
  </si>
  <si>
    <t>Substation and Transmission Tracking</t>
  </si>
  <si>
    <t>(Status of allocation of bays at ISTS substations for connectivity grantees, Connectivity margins at existing ISTS (non RE) substations for future RE integration and Connectivity Margin in ISTS RE Substations available by Mar-2030) link</t>
  </si>
  <si>
    <t>10a</t>
  </si>
  <si>
    <t>Potential RE Zones Report link</t>
  </si>
  <si>
    <t>10b</t>
  </si>
  <si>
    <t>NCT (Agenda and Minutes Summary and Comparison of Scheme wise elements) link
Link: https://cea.nic.in/comm-trans/national-committee-on-transmission/?lang=en</t>
  </si>
  <si>
    <t>10c</t>
  </si>
  <si>
    <t>Tender websites PFCCL and RECPDCL mentioned in NCT under TBCB and RTM (RFP and other tender documents in folders; Bidding Status: Bid Submission Date or Deadline, Commissioning Timeline and Expected SCOD) 
RECPDCL: https://www.recpdcl.in/rectpcltender 
PFCCL:https://www.pfcclindia.com/tender-new.php 
PFCCL Notice: https://www.pfcclindia.com/notice.php?AM1</t>
  </si>
  <si>
    <t>10d</t>
  </si>
  <si>
    <t>CEA monthly transmission reports: (track status for tender elements timelines from 1) CEA Monthly report for actual physical progress of elements and 2) Actual COD from completion report)
CEA https://cea.nic.in/transmission-reports/?lang=en</t>
  </si>
  <si>
    <t>10e</t>
  </si>
  <si>
    <t>Map of the above Section 2 data to be created for review and edit by users</t>
  </si>
  <si>
    <t>Bulk Consumers and Green Hydrogen link</t>
  </si>
  <si>
    <t>CEA: transmission schemes, substations (transformation capacity) and transmission lines published each month on CEA monthly reports section under transmission.</t>
  </si>
  <si>
    <t>Global Wind Atlas (India Map Visualization)</t>
  </si>
  <si>
    <t>Open Infrastructure Map (India Map Visualization)</t>
  </si>
  <si>
    <t>Sr.no.</t>
  </si>
  <si>
    <t>Region</t>
  </si>
  <si>
    <t>State</t>
  </si>
  <si>
    <t>Substation</t>
  </si>
  <si>
    <t>Coordinates</t>
  </si>
  <si>
    <t>Name of Developers</t>
  </si>
  <si>
    <t>Group</t>
  </si>
  <si>
    <t>GNA/ST II Application ID</t>
  </si>
  <si>
    <t>LTA Application ID</t>
  </si>
  <si>
    <t>Application ID under Enhancement 5.2 or revision</t>
  </si>
  <si>
    <t>CMETS GNA Approved</t>
  </si>
  <si>
    <t>CMETS LTA Approved</t>
  </si>
  <si>
    <t>CMETS GNA Meeting Date</t>
  </si>
  <si>
    <t>CMETS LTA Meeting Date</t>
  </si>
  <si>
    <t>Type</t>
  </si>
  <si>
    <t>Application Quantum (MW)(ST II)</t>
  </si>
  <si>
    <t>Granted  Quantum GNA/LTA(MW)</t>
  </si>
  <si>
    <t>Installed/Break-up Capacity (MW)</t>
  </si>
  <si>
    <t xml:space="preserve">Battery </t>
  </si>
  <si>
    <t>PSP</t>
  </si>
  <si>
    <t>Commissioned</t>
  </si>
  <si>
    <t>Application/Submission Date</t>
  </si>
  <si>
    <t>Mode(Criteria for applying)</t>
  </si>
  <si>
    <t>Applied Start of Connectivity sought by developer date( start date of connectivity as per the application)</t>
  </si>
  <si>
    <t>GNA Operationalization Date</t>
  </si>
  <si>
    <t>GNA Operationalization (Yes/No)</t>
  </si>
  <si>
    <t>Date from which additional capacity is to be added</t>
  </si>
  <si>
    <t>Nature of Applicant</t>
  </si>
  <si>
    <t>Status of application(Withdrawn / granted. Revoked.)</t>
  </si>
  <si>
    <t>Voltage level</t>
  </si>
  <si>
    <t>Bay No</t>
  </si>
  <si>
    <t>CTS Element Unique Code</t>
  </si>
  <si>
    <t>ATS Element Unique Code</t>
  </si>
  <si>
    <t>DTL Element Code Unique</t>
  </si>
  <si>
    <t>Date of Last Element Unique Code</t>
  </si>
  <si>
    <t>In-principle Grant</t>
  </si>
  <si>
    <t>Final Grant</t>
  </si>
  <si>
    <t>In case of Land BG Conversion Date</t>
  </si>
  <si>
    <t>Remarks</t>
  </si>
  <si>
    <t>Solar</t>
  </si>
  <si>
    <t>Wind</t>
  </si>
  <si>
    <t>Hybrid</t>
  </si>
  <si>
    <t>MWh</t>
  </si>
  <si>
    <t>Injection (MW)</t>
  </si>
  <si>
    <t>Drawl (MW)</t>
  </si>
  <si>
    <t>TGNA</t>
  </si>
  <si>
    <t>GNA</t>
  </si>
  <si>
    <t>Data Scoure (Sl. No.(s) 1,2,3,4,7,8,9,11)</t>
  </si>
  <si>
    <t>District</t>
  </si>
  <si>
    <t>Complex</t>
  </si>
  <si>
    <t>S/s</t>
  </si>
  <si>
    <t>Location (Village/Tehsil)</t>
  </si>
  <si>
    <t>Others (CTUIL)</t>
  </si>
  <si>
    <t>RE Potential (GW)</t>
  </si>
  <si>
    <t>Installed Capacity</t>
  </si>
  <si>
    <t>U/c &amp; granted Capacity</t>
  </si>
  <si>
    <t>Transmission Scheme</t>
  </si>
  <si>
    <t xml:space="preserve">Complex </t>
  </si>
  <si>
    <t>Bikaner</t>
  </si>
  <si>
    <t>Data Scoure (Sl. No.(s)9, 10a, )</t>
  </si>
  <si>
    <t>Kurnool</t>
  </si>
  <si>
    <t>Anantapur</t>
  </si>
  <si>
    <t>Gadag</t>
  </si>
  <si>
    <t>Koppal</t>
  </si>
  <si>
    <t>Rajasthan</t>
  </si>
  <si>
    <t>45 GW   (15 GW Wind &amp; 30  GW solar in GIB  Zone)</t>
  </si>
  <si>
    <t>Andhra Pradesh</t>
  </si>
  <si>
    <t>Karnataka</t>
  </si>
  <si>
    <t>Tamil Nadu</t>
  </si>
  <si>
    <t>Offshore wind</t>
  </si>
  <si>
    <t>Telangana</t>
  </si>
  <si>
    <t>Madhya Pradesh</t>
  </si>
  <si>
    <t>Gujarat</t>
  </si>
  <si>
    <t>Maharashtra</t>
  </si>
  <si>
    <t>5.4</t>
  </si>
  <si>
    <t>8.5</t>
  </si>
  <si>
    <t>2.5</t>
  </si>
  <si>
    <t>0.5</t>
  </si>
  <si>
    <t>Bikaner-II</t>
  </si>
  <si>
    <t>Bikaner-III</t>
  </si>
  <si>
    <t>Fatehgarh-IV</t>
  </si>
  <si>
    <t>Ramgarh</t>
  </si>
  <si>
    <t>Jalore</t>
  </si>
  <si>
    <t>Sanchore</t>
  </si>
  <si>
    <t>Sirohi</t>
  </si>
  <si>
    <t>Pali</t>
  </si>
  <si>
    <t>Ajmer</t>
  </si>
  <si>
    <t>Nagaur</t>
  </si>
  <si>
    <t>Bhadla-IV</t>
  </si>
  <si>
    <t>Barmer-I</t>
  </si>
  <si>
    <t>Barmer-II</t>
  </si>
  <si>
    <t>Jaisalmer/ Jodhpur  (Intra-State)</t>
  </si>
  <si>
    <t>Total</t>
  </si>
  <si>
    <t>Jaisalmer/  Jodhpur   (Intra-State)</t>
  </si>
  <si>
    <t>Jaisalmer/ Jodhpur   (Intra-State)</t>
  </si>
  <si>
    <t>Kurnool-IV</t>
  </si>
  <si>
    <t>Kurnool-V</t>
  </si>
  <si>
    <t>Anantapur-II</t>
  </si>
  <si>
    <t>Kadapa-II</t>
  </si>
  <si>
    <t>Koppal-II</t>
  </si>
  <si>
    <t>Gadag-II</t>
  </si>
  <si>
    <t>Devanagere/  Chitragurga</t>
  </si>
  <si>
    <t>Bijapur</t>
  </si>
  <si>
    <t>Bellary</t>
  </si>
  <si>
    <t>Tumkur-II</t>
  </si>
  <si>
    <t>Nizamabad-II</t>
  </si>
  <si>
    <t>Medak</t>
  </si>
  <si>
    <t>Rangareddy</t>
  </si>
  <si>
    <t>Karimnagar</t>
  </si>
  <si>
    <t>Sl. No.</t>
  </si>
  <si>
    <t>Sl.No.</t>
  </si>
  <si>
    <t>Pooling S/s</t>
  </si>
  <si>
    <t>Timelines</t>
  </si>
  <si>
    <t>RE Potential</t>
  </si>
  <si>
    <t>Expected CoD of Pooling Station</t>
  </si>
  <si>
    <t>Connectivity Granted/ Agreed</t>
  </si>
  <si>
    <t>Margin for Connectivity</t>
  </si>
  <si>
    <t>Additional Margin for Connectivity requiring ICT Augmentation / additional Tr. System</t>
  </si>
  <si>
    <t>Effectiveness of GNA for Capacity mentioned under "Margin for Connectivity</t>
  </si>
  <si>
    <t>RE Potential (MW) [A]</t>
  </si>
  <si>
    <t>BESS (MW) [B]</t>
  </si>
  <si>
    <t>S/s Evacuation Capacity (RE Potential - BESS [AB])</t>
  </si>
  <si>
    <t>200 kV</t>
  </si>
  <si>
    <t>400 kV</t>
  </si>
  <si>
    <t>Total (MW)</t>
  </si>
  <si>
    <t>Existing PS</t>
  </si>
  <si>
    <t>Jul-25 to Dec-25</t>
  </si>
  <si>
    <t>Jan-26 to Jun-26</t>
  </si>
  <si>
    <t>Jul-26 to Dec-31</t>
  </si>
  <si>
    <t xml:space="preserve">Beyond Dec-25 </t>
  </si>
  <si>
    <t>Data Scoure (Sl. No.(s)9)</t>
  </si>
  <si>
    <t>Name of Station</t>
  </si>
  <si>
    <t>Capacity (MVA)</t>
  </si>
  <si>
    <t>Capacity Allocated (MW)</t>
  </si>
  <si>
    <t>Margin Existing 220kV (MW)</t>
  </si>
  <si>
    <t>Margin Existing 400kV (MW)</t>
  </si>
  <si>
    <t>Line Bays 220kV</t>
  </si>
  <si>
    <t>Line Bays 400kV</t>
  </si>
  <si>
    <t>Margin with ICT 220kV (MW)</t>
  </si>
  <si>
    <t>Margin with ICT 400kV (MW)</t>
  </si>
  <si>
    <t>Line Bays with ICT 220kV</t>
  </si>
  <si>
    <t>Line Bays with ICT 400kV</t>
  </si>
  <si>
    <t>No. of Transformers Required</t>
  </si>
  <si>
    <t>S.No.</t>
  </si>
  <si>
    <t>Element Code</t>
  </si>
  <si>
    <t>Inter/Intra Tx. Element</t>
  </si>
  <si>
    <t>Transmission Scope</t>
  </si>
  <si>
    <t>MVA</t>
  </si>
  <si>
    <t>Status</t>
  </si>
  <si>
    <t>Approval of Elements in which NCT</t>
  </si>
  <si>
    <t>Mode (TBCB/RTM)</t>
  </si>
  <si>
    <t>Tender Issuing Authority</t>
  </si>
  <si>
    <t>Date of tender issuance</t>
  </si>
  <si>
    <t xml:space="preserve"> Date of Bid Submission</t>
  </si>
  <si>
    <t>Execution Timeline</t>
  </si>
  <si>
    <t>Tentative SCOD</t>
  </si>
  <si>
    <t>Awarded To</t>
  </si>
  <si>
    <t>SPV Transfer Date</t>
  </si>
  <si>
    <t>Physical Progress S/s of Tx. Line</t>
  </si>
  <si>
    <t>Physical Progress  Substation</t>
  </si>
  <si>
    <t>Original SCOD</t>
  </si>
  <si>
    <t>Anticipated SCOD</t>
  </si>
  <si>
    <t>Length</t>
  </si>
  <si>
    <t>Location</t>
  </si>
  <si>
    <t>Foundation</t>
  </si>
  <si>
    <t>Erection</t>
  </si>
  <si>
    <t>Stringing</t>
  </si>
  <si>
    <t>Foundation (%)</t>
  </si>
  <si>
    <t>Erection (%)</t>
  </si>
  <si>
    <t>Stringing (%)</t>
  </si>
  <si>
    <t>Civil Work (%)</t>
  </si>
  <si>
    <t>Equipment Received (%)</t>
  </si>
  <si>
    <t>Equipment Erected (%)</t>
  </si>
  <si>
    <t>Data Scoure (Sl. No.(s)1, 2, 5, 6, 10b, 10c, 10d, 10e, 12)</t>
  </si>
  <si>
    <t>Additional Information of Pooling S/s</t>
  </si>
  <si>
    <t>Voltage level (kV)</t>
  </si>
  <si>
    <t>Existing Capacity (MVA)</t>
  </si>
  <si>
    <t>Under Implementation Capacity (MVA)</t>
  </si>
  <si>
    <t>Planned Capacity (MVA)</t>
  </si>
  <si>
    <t>JCC</t>
  </si>
  <si>
    <t xml:space="preserve">12.09.2025 </t>
  </si>
  <si>
    <t>Solar + BESS</t>
  </si>
  <si>
    <t>300 +240</t>
  </si>
  <si>
    <t>Generating station(s), including REGS(s), without ESS</t>
  </si>
  <si>
    <t>Cmets , JCC</t>
  </si>
  <si>
    <t>CMETS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</si>
</sst>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0"/>
      <color theme="1"/>
      <name val="Adani Regular"/>
      <family val="2"/>
    </font>
    <font>
      <sz val="10"/>
      <color theme="1"/>
      <name val="Adani Regular"/>
      <family val="2"/>
    </font>
    <font>
      <b/>
      <sz val="12"/>
      <color theme="1"/>
      <name val="Adani Regular"/>
    </font>
    <font>
      <b/>
      <sz val="12"/>
      <color theme="1"/>
      <name val="Adani Regular"/>
      <family val="2"/>
    </font>
    <font>
      <b/>
      <sz val="10"/>
      <color theme="1"/>
      <name val="Adani Regular"/>
    </font>
    <font>
      <u/>
      <sz val="10"/>
      <color theme="10"/>
      <name val="Adani Regular"/>
      <family val="2"/>
    </font>
    <font>
      <b/>
      <sz val="11"/>
      <color rgb="FFFFFFFF"/>
      <name val="Adani Regular"/>
      <family val="2"/>
      <charset val="1"/>
    </font>
    <font>
      <b/>
      <sz val="10"/>
      <color rgb="FFFFFFFF"/>
      <name val="Adani Regular"/>
      <family val="2"/>
      <charset val="1"/>
    </font>
    <font>
      <sz val="9"/>
      <color theme="1"/>
      <name val="Adani Regular"/>
      <family val="2"/>
      <charset val="1"/>
    </font>
    <font>
      <b/>
      <sz val="10"/>
      <name val="Adani Regular"/>
    </font>
  </fonts>
  <fills count="6">
    <fill>
      <patternFill patternType="none"/>
    </fill>
    <fill>
      <patternFill patternType="gray125"/>
    </fill>
    <fill>
      <patternFill patternType="solid">
        <fgColor theme="7" tint="0.79998168889431442"/>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rgb="FF000000"/>
        <bgColor indexed="64"/>
      </patternFill>
    </fill>
  </fills>
  <borders count="1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3">
    <xf numFmtId="0" fontId="0" fillId="0" borderId="0"/>
    <xf numFmtId="9" fontId="1" fillId="0" borderId="0"/>
    <xf numFmtId="0" fontId="5" fillId="0" borderId="0"/>
  </cellStyleXfs>
  <cellXfs count="42">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2" borderId="4" xfId="0" applyFont="1" applyFill="1" applyBorder="1" applyAlignment="1">
      <alignment horizontal="centerContinuous" vertical="center" wrapText="1"/>
    </xf>
    <xf numFmtId="0" fontId="2" fillId="2" borderId="1" xfId="0" applyFont="1" applyFill="1" applyBorder="1" applyAlignment="1">
      <alignment horizontal="centerContinuous" vertical="center" wrapText="1"/>
    </xf>
    <xf numFmtId="0" fontId="3" fillId="2" borderId="1"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Continuous" vertical="distributed" wrapText="1"/>
    </xf>
    <xf numFmtId="0" fontId="2" fillId="2" borderId="2" xfId="0" applyFont="1" applyFill="1" applyBorder="1" applyAlignment="1">
      <alignment horizontal="centerContinuous" vertical="distributed" wrapText="1"/>
    </xf>
    <xf numFmtId="0" fontId="2" fillId="2" borderId="5"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0" fillId="0" borderId="0" xfId="0" applyAlignment="1">
      <alignment wrapText="1"/>
    </xf>
    <xf numFmtId="0" fontId="0" fillId="4" borderId="4" xfId="0" applyFill="1" applyBorder="1"/>
    <xf numFmtId="0" fontId="0" fillId="0" borderId="4" xfId="0" applyBorder="1"/>
    <xf numFmtId="14" fontId="0" fillId="0" borderId="4" xfId="0" applyNumberFormat="1" applyBorder="1"/>
    <xf numFmtId="9" fontId="0" fillId="0" borderId="4" xfId="1" applyFont="1" applyBorder="1"/>
    <xf numFmtId="0" fontId="2" fillId="2" borderId="2" xfId="0" applyFont="1" applyFill="1" applyBorder="1" applyAlignment="1">
      <alignment horizontal="centerContinuous" vertical="center" wrapText="1"/>
    </xf>
    <xf numFmtId="0" fontId="2" fillId="2" borderId="6" xfId="0" applyFont="1" applyFill="1" applyBorder="1" applyAlignment="1">
      <alignment horizontal="centerContinuous" vertical="center"/>
    </xf>
    <xf numFmtId="0" fontId="2" fillId="2" borderId="7" xfId="0" applyFont="1" applyFill="1" applyBorder="1" applyAlignment="1">
      <alignment horizontal="centerContinuous" vertical="center"/>
    </xf>
    <xf numFmtId="0" fontId="2" fillId="2" borderId="8" xfId="0" applyFont="1" applyFill="1" applyBorder="1" applyAlignment="1">
      <alignment horizontal="centerContinuous" vertical="center"/>
    </xf>
    <xf numFmtId="0" fontId="7" fillId="5" borderId="9" xfId="0" applyFont="1" applyFill="1" applyBorder="1" applyAlignment="1">
      <alignment wrapText="1"/>
    </xf>
    <xf numFmtId="0" fontId="6" fillId="5" borderId="9" xfId="0" applyFont="1" applyFill="1" applyBorder="1" applyAlignment="1">
      <alignment horizontal="center"/>
    </xf>
    <xf numFmtId="0" fontId="0" fillId="0" borderId="9" xfId="0" applyBorder="1" applyAlignment="1">
      <alignment horizontal="center"/>
    </xf>
    <xf numFmtId="0" fontId="7" fillId="5" borderId="9" xfId="0" applyFont="1" applyFill="1" applyBorder="1" applyAlignment="1">
      <alignment horizontal="center"/>
    </xf>
    <xf numFmtId="0" fontId="0" fillId="0" borderId="0" xfId="0" applyAlignment="1">
      <alignment horizontal="center"/>
    </xf>
    <xf numFmtId="0" fontId="0" fillId="0" borderId="4" xfId="0" applyBorder="1" applyAlignment="1">
      <alignment wrapText="1"/>
    </xf>
    <xf numFmtId="0" fontId="8" fillId="0" borderId="10" xfId="0" applyFont="1" applyBorder="1" applyAlignment="1">
      <alignment wrapText="1"/>
    </xf>
    <xf numFmtId="0" fontId="5" fillId="0" borderId="10" xfId="2" applyBorder="1" applyAlignment="1">
      <alignment wrapText="1"/>
    </xf>
    <xf numFmtId="0" fontId="7" fillId="5" borderId="11" xfId="0" applyFont="1" applyFill="1" applyBorder="1" applyAlignment="1">
      <alignment wrapText="1"/>
    </xf>
    <xf numFmtId="0" fontId="0" fillId="0" borderId="10" xfId="0" applyBorder="1" applyAlignment="1">
      <alignment wrapText="1"/>
    </xf>
    <xf numFmtId="0" fontId="5" fillId="0" borderId="0" xfId="2" applyAlignment="1">
      <alignment wrapText="1"/>
    </xf>
    <xf numFmtId="0" fontId="0" fillId="0" borderId="11" xfId="0" applyBorder="1" applyAlignment="1">
      <alignment horizontal="center"/>
    </xf>
    <xf numFmtId="0" fontId="0" fillId="0" borderId="12" xfId="0" applyBorder="1" applyAlignment="1">
      <alignment wrapText="1"/>
    </xf>
    <xf numFmtId="0" fontId="0" fillId="0" borderId="1" xfId="0" applyBorder="1"/>
    <xf numFmtId="0" fontId="0" fillId="0" borderId="4" xfId="0" applyBorder="1" applyAlignment="1">
      <alignment horizontal="center"/>
    </xf>
    <xf numFmtId="0" fontId="5" fillId="0" borderId="4" xfId="2" applyBorder="1" applyAlignment="1">
      <alignment wrapText="1"/>
    </xf>
    <xf numFmtId="0" fontId="3" fillId="2" borderId="3" xfId="0" applyFont="1" applyFill="1" applyBorder="1" applyAlignment="1">
      <alignment horizontal="center" vertical="center" wrapText="1"/>
    </xf>
    <xf numFmtId="0" fontId="9" fillId="0" borderId="0" xfId="0" applyFont="1" applyAlignment="1">
      <alignment horizontal="center" vertical="center" wrapText="1"/>
    </xf>
    <xf numFmtId="2" fontId="0" fillId="0" borderId="4" xfId="0" applyNumberFormat="1" applyBorder="1"/>
    <xf numFmtId="2" fontId="0" fillId="0" borderId="0" xfId="0" applyNumberFormat="1"/>
    <xf numFmtId="0" fontId="0" fillId="4" borderId="4" xfId="0" applyFill="1" applyBorder="1" applyAlignment="1">
      <alignment wrapText="1"/>
    </xf>
  </cellXfs>
  <cellStyles count="3">
    <cellStyle name="Hyperlink" xfId="2" builtinId="8"/>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ea.nic.in/psp___a_i/transmission-system-for-integration-of-over-500-gw-non-fossil-capacity-by-2030/?lang=en" TargetMode="External"/><Relationship Id="rId13" Type="http://schemas.openxmlformats.org/officeDocument/2006/relationships/hyperlink" Target="https://openinframap.org/" TargetMode="External"/><Relationship Id="rId3" Type="http://schemas.openxmlformats.org/officeDocument/2006/relationships/hyperlink" Target="https://www.ctuil.in/bidding-calendar" TargetMode="External"/><Relationship Id="rId7" Type="http://schemas.openxmlformats.org/officeDocument/2006/relationships/hyperlink" Target="https://www.ctuil.in/renewable-energy" TargetMode="External"/><Relationship Id="rId12" Type="http://schemas.openxmlformats.org/officeDocument/2006/relationships/hyperlink" Target="https://globalwindatlas.info/en/" TargetMode="External"/><Relationship Id="rId2" Type="http://schemas.openxmlformats.org/officeDocument/2006/relationships/hyperlink" Target="https://www.ctuil.in/reallocation_meetings" TargetMode="External"/><Relationship Id="rId1" Type="http://schemas.openxmlformats.org/officeDocument/2006/relationships/hyperlink" Target="https://www.ctuil.in/regenerators" TargetMode="External"/><Relationship Id="rId6" Type="http://schemas.openxmlformats.org/officeDocument/2006/relationships/hyperlink" Target="https://www.ctuil.in/connectivityannexures" TargetMode="External"/><Relationship Id="rId11" Type="http://schemas.openxmlformats.org/officeDocument/2006/relationships/hyperlink" Target="https://ctuil.in/substation-bulk-consumers" TargetMode="External"/><Relationship Id="rId5" Type="http://schemas.openxmlformats.org/officeDocument/2006/relationships/hyperlink" Target="https://www.ctuil.in/uploads/assets/175040253742List%20of%20applicant%20due%20for%20complaince%20June%20to%20Aug'25.pdf" TargetMode="External"/><Relationship Id="rId10" Type="http://schemas.openxmlformats.org/officeDocument/2006/relationships/hyperlink" Target="https://cea.nic.in/transmission-reports/?lang=en" TargetMode="External"/><Relationship Id="rId4" Type="http://schemas.openxmlformats.org/officeDocument/2006/relationships/hyperlink" Target="https://cea.nic.in/transmission-reports/?lang=en" TargetMode="External"/><Relationship Id="rId9" Type="http://schemas.openxmlformats.org/officeDocument/2006/relationships/hyperlink" Target="https://cea.nic.in/comm-trans/national-committee-on-transmission/?lang=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22"/>
  <sheetViews>
    <sheetView zoomScaleNormal="90" workbookViewId="0">
      <selection activeCell="C3" sqref="C3"/>
    </sheetView>
  </sheetViews>
  <sheetFormatPr defaultRowHeight="12.5"/>
  <cols>
    <col min="2" max="2" width="9.1796875" style="25" customWidth="1"/>
    <col min="3" max="3" width="116.453125" style="12" customWidth="1"/>
  </cols>
  <sheetData>
    <row r="2" spans="2:4" ht="26" customHeight="1">
      <c r="B2" s="22" t="s">
        <v>0</v>
      </c>
      <c r="C2" s="21" t="s">
        <v>1</v>
      </c>
      <c r="D2" s="29" t="s">
        <v>2</v>
      </c>
    </row>
    <row r="3" spans="2:4">
      <c r="B3" s="23">
        <v>1</v>
      </c>
      <c r="C3" s="27" t="s">
        <v>3</v>
      </c>
      <c r="D3" s="14" t="s">
        <v>4</v>
      </c>
    </row>
    <row r="4" spans="2:4" ht="23" customHeight="1">
      <c r="B4" s="23">
        <v>2</v>
      </c>
      <c r="C4" s="27" t="s">
        <v>5</v>
      </c>
      <c r="D4" s="14" t="s">
        <v>4</v>
      </c>
    </row>
    <row r="5" spans="2:4">
      <c r="B5" s="23">
        <v>3</v>
      </c>
      <c r="C5" s="28" t="s">
        <v>6</v>
      </c>
      <c r="D5" s="14" t="s">
        <v>4</v>
      </c>
    </row>
    <row r="6" spans="2:4">
      <c r="B6" s="23">
        <v>4</v>
      </c>
      <c r="C6" s="28" t="s">
        <v>7</v>
      </c>
      <c r="D6" s="14" t="s">
        <v>8</v>
      </c>
    </row>
    <row r="7" spans="2:4">
      <c r="B7" s="23">
        <v>5</v>
      </c>
      <c r="C7" s="28" t="s">
        <v>9</v>
      </c>
      <c r="D7" s="14" t="s">
        <v>8</v>
      </c>
    </row>
    <row r="8" spans="2:4">
      <c r="B8" s="23">
        <v>6</v>
      </c>
      <c r="C8" s="28" t="s">
        <v>10</v>
      </c>
      <c r="D8" s="14" t="s">
        <v>4</v>
      </c>
    </row>
    <row r="9" spans="2:4">
      <c r="B9" s="23">
        <v>7</v>
      </c>
      <c r="C9" s="28" t="s">
        <v>11</v>
      </c>
      <c r="D9" s="14" t="s">
        <v>4</v>
      </c>
    </row>
    <row r="10" spans="2:4">
      <c r="B10" s="23">
        <v>8</v>
      </c>
      <c r="C10" s="28" t="s">
        <v>12</v>
      </c>
      <c r="D10" s="14" t="s">
        <v>4</v>
      </c>
    </row>
    <row r="12" spans="2:4" ht="26" customHeight="1">
      <c r="B12" s="24" t="s">
        <v>0</v>
      </c>
      <c r="C12" s="21" t="s">
        <v>13</v>
      </c>
      <c r="D12" s="29" t="s">
        <v>2</v>
      </c>
    </row>
    <row r="13" spans="2:4" ht="25" customHeight="1">
      <c r="B13" s="23">
        <v>9</v>
      </c>
      <c r="C13" s="28" t="s">
        <v>14</v>
      </c>
      <c r="D13" s="14" t="s">
        <v>8</v>
      </c>
    </row>
    <row r="14" spans="2:4">
      <c r="B14" s="23" t="s">
        <v>15</v>
      </c>
      <c r="C14" s="28" t="s">
        <v>16</v>
      </c>
      <c r="D14" s="14" t="s">
        <v>8</v>
      </c>
    </row>
    <row r="15" spans="2:4" ht="25" customHeight="1">
      <c r="B15" s="23" t="s">
        <v>17</v>
      </c>
      <c r="C15" s="31" t="s">
        <v>18</v>
      </c>
      <c r="D15" s="14" t="s">
        <v>4</v>
      </c>
    </row>
    <row r="16" spans="2:4" ht="62.5" customHeight="1">
      <c r="B16" s="23" t="s">
        <v>19</v>
      </c>
      <c r="C16" s="30" t="s">
        <v>20</v>
      </c>
      <c r="D16" s="14" t="s">
        <v>4</v>
      </c>
    </row>
    <row r="17" spans="2:4" ht="37.5" customHeight="1">
      <c r="B17" s="23" t="s">
        <v>21</v>
      </c>
      <c r="C17" s="28" t="s">
        <v>22</v>
      </c>
      <c r="D17" s="14" t="s">
        <v>4</v>
      </c>
    </row>
    <row r="18" spans="2:4">
      <c r="B18" s="23" t="s">
        <v>23</v>
      </c>
      <c r="C18" s="30" t="s">
        <v>24</v>
      </c>
      <c r="D18" s="14"/>
    </row>
    <row r="19" spans="2:4">
      <c r="B19" s="23">
        <v>11</v>
      </c>
      <c r="C19" s="28" t="s">
        <v>25</v>
      </c>
      <c r="D19" s="14" t="s">
        <v>8</v>
      </c>
    </row>
    <row r="20" spans="2:4" ht="25" customHeight="1">
      <c r="B20" s="32">
        <v>12</v>
      </c>
      <c r="C20" s="33" t="s">
        <v>26</v>
      </c>
      <c r="D20" s="34" t="s">
        <v>8</v>
      </c>
    </row>
    <row r="21" spans="2:4">
      <c r="B21" s="35">
        <v>13</v>
      </c>
      <c r="C21" s="36" t="s">
        <v>27</v>
      </c>
      <c r="D21" s="34" t="s">
        <v>8</v>
      </c>
    </row>
    <row r="22" spans="2:4">
      <c r="B22" s="35">
        <v>14</v>
      </c>
      <c r="C22" s="36" t="s">
        <v>28</v>
      </c>
      <c r="D22" s="34" t="s">
        <v>8</v>
      </c>
    </row>
  </sheetData>
  <hyperlinks>
    <hyperlink ref="C5" r:id="rId1" xr:uid="{00000000-0004-0000-0000-000000000000}"/>
    <hyperlink ref="C6" r:id="rId2" xr:uid="{00000000-0004-0000-0000-000001000000}"/>
    <hyperlink ref="C7" r:id="rId3" xr:uid="{00000000-0004-0000-0000-000002000000}"/>
    <hyperlink ref="C8" r:id="rId4" xr:uid="{00000000-0004-0000-0000-000003000000}"/>
    <hyperlink ref="C9" r:id="rId5" xr:uid="{00000000-0004-0000-0000-000004000000}"/>
    <hyperlink ref="C10" r:id="rId6" xr:uid="{00000000-0004-0000-0000-000005000000}"/>
    <hyperlink ref="C13" r:id="rId7" xr:uid="{00000000-0004-0000-0000-000006000000}"/>
    <hyperlink ref="C14" r:id="rId8" xr:uid="{00000000-0004-0000-0000-000007000000}"/>
    <hyperlink ref="C15" r:id="rId9" display="https://cea.nic.in/comm-trans/national-committee-on-transmission/?lang=en" xr:uid="{00000000-0004-0000-0000-000008000000}"/>
    <hyperlink ref="C17" r:id="rId10" display="https://cea.nic.in/transmission-reports/?lang=en" xr:uid="{00000000-0004-0000-0000-000009000000}"/>
    <hyperlink ref="C19" r:id="rId11" xr:uid="{00000000-0004-0000-0000-00000A000000}"/>
    <hyperlink ref="C21" r:id="rId12" display="Global Wind Atlas" xr:uid="{00000000-0004-0000-0000-00000B000000}"/>
    <hyperlink ref="C22" r:id="rId13" location="8.12/23.96/70.256" display="Open Infrastructure Map" xr:uid="{00000000-0004-0000-0000-00000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9"/>
  <sheetViews>
    <sheetView tabSelected="1" workbookViewId="0">
      <selection activeCell="E2" sqref="E2"/>
    </sheetView>
  </sheetViews>
  <sheetFormatPr defaultRowHeight="12.5"/>
  <cols>
    <col min="1" max="1" width="41.26953125" customWidth="1"/>
    <col min="5" max="5" width="10.7265625" customWidth="1"/>
    <col min="6" max="6" width="15.1796875" customWidth="1"/>
    <col min="9" max="10" width="13" customWidth="1"/>
    <col min="11" max="11" width="24.54296875" bestFit="1" customWidth="1"/>
    <col min="12" max="12" width="15.1796875" bestFit="1" customWidth="1"/>
    <col min="13" max="15" width="15.1796875" customWidth="1"/>
    <col min="16" max="16" width="13.54296875" customWidth="1"/>
    <col min="17" max="17" width="14" customWidth="1"/>
    <col min="18" max="18" width="10.54296875" customWidth="1"/>
    <col min="30" max="30" width="15.7265625" customWidth="1"/>
    <col min="31" max="31" width="11.36328125" customWidth="1"/>
    <col min="32" max="32" width="25.1796875" bestFit="1" customWidth="1"/>
    <col min="33" max="33" width="16" bestFit="1" customWidth="1"/>
    <col min="34" max="34" width="20.26953125" bestFit="1" customWidth="1"/>
    <col min="35" max="35" width="23.26953125" bestFit="1" customWidth="1"/>
    <col min="36" max="37" width="16" customWidth="1"/>
    <col min="38" max="38" width="8" customWidth="1"/>
    <col min="39" max="39" width="10.453125" customWidth="1"/>
    <col min="40" max="40" width="13.54296875" customWidth="1"/>
    <col min="41" max="41" width="13.7265625" customWidth="1"/>
    <col min="42" max="43" width="11.54296875" customWidth="1"/>
    <col min="44" max="44" width="10.81640625" hidden="1" customWidth="1"/>
    <col min="45" max="45" width="13" hidden="1" customWidth="1"/>
    <col min="46" max="46" width="18.1796875" hidden="1" customWidth="1"/>
  </cols>
  <sheetData>
    <row r="1" spans="1:47" ht="50">
      <c r="B1" s="14"/>
      <c r="C1" s="14"/>
      <c r="D1" s="14"/>
      <c r="E1" s="14"/>
      <c r="F1" s="14"/>
      <c r="G1" s="14"/>
      <c r="H1" s="14"/>
      <c r="I1" s="14">
        <v>1200002471</v>
      </c>
      <c r="J1" s="14"/>
      <c r="K1" s="14">
        <v>2200002280</v>
      </c>
      <c r="L1" s="14">
        <v>40</v>
      </c>
      <c r="M1" s="14"/>
      <c r="N1" s="14" t="s">
        <v>209</v>
      </c>
      <c r="O1" s="14"/>
      <c r="P1" s="14" t="s">
        <v>210</v>
      </c>
      <c r="Q1" s="14">
        <v>300</v>
      </c>
      <c r="R1" s="14">
        <v>300</v>
      </c>
      <c r="S1" s="14" t="s">
        <v>211</v>
      </c>
      <c r="T1" s="14"/>
      <c r="U1" s="14"/>
      <c r="V1" s="14"/>
      <c r="W1" s="14">
        <v>300</v>
      </c>
      <c r="X1" s="14"/>
      <c r="Y1" s="14"/>
      <c r="Z1" s="14"/>
      <c r="AA1" s="14"/>
      <c r="AB1" s="14" t="s">
        <v>208</v>
      </c>
      <c r="AC1" s="14" t="s">
        <v>208</v>
      </c>
      <c r="AD1" s="14"/>
      <c r="AE1" s="14"/>
      <c r="AF1" s="14"/>
      <c r="AG1" s="14"/>
      <c r="AH1" s="14"/>
      <c r="AI1" s="14"/>
      <c r="AJ1" s="26" t="s">
        <v>212</v>
      </c>
      <c r="AK1" s="14" t="s">
        <v>213</v>
      </c>
      <c r="AL1" s="14" t="s">
        <v>214</v>
      </c>
      <c r="AM1" s="14"/>
      <c r="AN1" s="14"/>
      <c r="AO1" s="14"/>
      <c r="AP1" s="14"/>
      <c r="AQ1" s="14"/>
      <c r="AR1" s="14"/>
      <c r="AS1" s="14"/>
      <c r="AU1" s="14"/>
    </row>
    <row r="2" spans="1:47" ht="89.25" customHeight="1">
      <c r="B2" s="7" t="s">
        <v>29</v>
      </c>
      <c r="C2" s="1" t="s">
        <v>30</v>
      </c>
      <c r="D2" s="1" t="s">
        <v>31</v>
      </c>
      <c r="E2" s="1" t="s">
        <v>32</v>
      </c>
      <c r="F2" s="1" t="s">
        <v>33</v>
      </c>
      <c r="G2" s="1" t="s">
        <v>34</v>
      </c>
      <c r="H2" s="1" t="s">
        <v>35</v>
      </c>
      <c r="I2" s="1" t="s">
        <v>36</v>
      </c>
      <c r="J2" s="1" t="s">
        <v>37</v>
      </c>
      <c r="K2" s="1" t="s">
        <v>38</v>
      </c>
      <c r="L2" s="1" t="s">
        <v>39</v>
      </c>
      <c r="M2" s="1" t="s">
        <v>40</v>
      </c>
      <c r="N2" s="1" t="s">
        <v>41</v>
      </c>
      <c r="O2" s="1" t="s">
        <v>42</v>
      </c>
      <c r="P2" s="1" t="s">
        <v>43</v>
      </c>
      <c r="Q2" s="1" t="s">
        <v>44</v>
      </c>
      <c r="R2" s="1" t="s">
        <v>45</v>
      </c>
      <c r="S2" s="4" t="s">
        <v>46</v>
      </c>
      <c r="T2" s="4"/>
      <c r="U2" s="4"/>
      <c r="V2" s="18" t="s">
        <v>47</v>
      </c>
      <c r="W2" s="19"/>
      <c r="X2" s="20"/>
      <c r="Y2" s="18" t="s">
        <v>48</v>
      </c>
      <c r="Z2" s="19"/>
      <c r="AA2" s="19"/>
      <c r="AB2" s="3" t="s">
        <v>49</v>
      </c>
      <c r="AC2" s="3"/>
      <c r="AD2" s="1" t="s">
        <v>50</v>
      </c>
      <c r="AE2" s="1" t="s">
        <v>51</v>
      </c>
      <c r="AF2" s="1" t="s">
        <v>52</v>
      </c>
      <c r="AG2" s="5" t="s">
        <v>53</v>
      </c>
      <c r="AH2" s="5" t="s">
        <v>54</v>
      </c>
      <c r="AI2" s="5" t="s">
        <v>55</v>
      </c>
      <c r="AJ2" s="5" t="s">
        <v>56</v>
      </c>
      <c r="AK2" s="37" t="s">
        <v>57</v>
      </c>
      <c r="AL2" s="10" t="s">
        <v>58</v>
      </c>
      <c r="AM2" s="1" t="s">
        <v>59</v>
      </c>
      <c r="AN2" s="1" t="s">
        <v>60</v>
      </c>
      <c r="AO2" s="1" t="s">
        <v>61</v>
      </c>
      <c r="AP2" s="1" t="s">
        <v>62</v>
      </c>
      <c r="AQ2" s="1" t="s">
        <v>63</v>
      </c>
      <c r="AR2" s="1" t="s">
        <v>64</v>
      </c>
      <c r="AS2" s="1" t="s">
        <v>65</v>
      </c>
      <c r="AT2" s="4" t="s">
        <v>66</v>
      </c>
      <c r="AU2" s="1" t="s">
        <v>67</v>
      </c>
    </row>
    <row r="3" spans="1:47" ht="31" customHeight="1">
      <c r="B3" s="8"/>
      <c r="C3" s="2"/>
      <c r="D3" s="2"/>
      <c r="E3" s="2"/>
      <c r="F3" s="2"/>
      <c r="G3" s="2"/>
      <c r="H3" s="2"/>
      <c r="I3" s="2"/>
      <c r="J3" s="2"/>
      <c r="K3" s="2"/>
      <c r="L3" s="2"/>
      <c r="M3" s="2"/>
      <c r="N3" s="2"/>
      <c r="O3" s="2"/>
      <c r="P3" s="2"/>
      <c r="Q3" s="2"/>
      <c r="R3" s="2"/>
      <c r="S3" s="6" t="s">
        <v>68</v>
      </c>
      <c r="T3" s="6" t="s">
        <v>69</v>
      </c>
      <c r="U3" s="6" t="s">
        <v>70</v>
      </c>
      <c r="V3" s="6" t="s">
        <v>71</v>
      </c>
      <c r="W3" s="6" t="s">
        <v>72</v>
      </c>
      <c r="X3" s="6" t="s">
        <v>73</v>
      </c>
      <c r="Y3" s="6" t="s">
        <v>71</v>
      </c>
      <c r="Z3" s="6" t="s">
        <v>72</v>
      </c>
      <c r="AA3" s="6" t="s">
        <v>73</v>
      </c>
      <c r="AB3" s="2" t="s">
        <v>74</v>
      </c>
      <c r="AC3" s="2" t="s">
        <v>75</v>
      </c>
      <c r="AD3" s="2"/>
      <c r="AE3" s="2"/>
      <c r="AF3" s="2"/>
      <c r="AG3" s="2"/>
      <c r="AH3" s="2"/>
      <c r="AI3" s="9"/>
      <c r="AJ3" s="2"/>
      <c r="AK3" s="2"/>
      <c r="AL3" s="2"/>
      <c r="AM3" s="2"/>
      <c r="AN3" s="2"/>
      <c r="AO3" s="2"/>
      <c r="AP3" s="2"/>
      <c r="AQ3" s="2"/>
      <c r="AR3" s="17"/>
      <c r="AS3" s="2"/>
      <c r="AU3" s="2"/>
    </row>
    <row r="5" spans="1:47">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v>996</v>
      </c>
      <c r="AD5" s="14"/>
      <c r="AE5" s="14"/>
      <c r="AF5" s="14"/>
      <c r="AG5" s="14"/>
      <c r="AH5" s="14"/>
      <c r="AI5" s="14"/>
      <c r="AJ5" s="14"/>
      <c r="AK5" s="14"/>
      <c r="AL5" s="14"/>
      <c r="AM5" s="14"/>
      <c r="AN5" s="14"/>
      <c r="AO5" s="14"/>
      <c r="AP5" s="14"/>
      <c r="AQ5" s="14"/>
      <c r="AR5" s="14"/>
      <c r="AS5" s="14"/>
      <c r="AU5" s="14"/>
    </row>
    <row r="6" spans="1:47">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U6" s="14"/>
    </row>
    <row r="7" spans="1:47">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U7" s="14"/>
    </row>
    <row r="9" spans="1:47">
      <c r="A9" t="s">
        <v>76</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Q107"/>
  <sheetViews>
    <sheetView workbookViewId="0">
      <selection activeCell="A4" sqref="A4"/>
    </sheetView>
  </sheetViews>
  <sheetFormatPr defaultRowHeight="12.5"/>
  <cols>
    <col min="1" max="1" width="39.7265625" customWidth="1"/>
  </cols>
  <sheetData>
    <row r="2" spans="1:17" ht="39" customHeight="1">
      <c r="B2" s="11" t="s">
        <v>30</v>
      </c>
      <c r="C2" s="11" t="s">
        <v>31</v>
      </c>
      <c r="D2" s="11" t="s">
        <v>77</v>
      </c>
      <c r="E2" s="11" t="s">
        <v>78</v>
      </c>
      <c r="F2" s="11" t="s">
        <v>79</v>
      </c>
      <c r="G2" s="11" t="s">
        <v>80</v>
      </c>
      <c r="H2" s="11" t="s">
        <v>68</v>
      </c>
      <c r="I2" s="11" t="s">
        <v>69</v>
      </c>
      <c r="J2" s="11" t="s">
        <v>70</v>
      </c>
      <c r="K2" s="11" t="s">
        <v>81</v>
      </c>
      <c r="L2" s="11" t="s">
        <v>82</v>
      </c>
      <c r="M2" s="11" t="s">
        <v>83</v>
      </c>
      <c r="N2" s="11" t="s">
        <v>84</v>
      </c>
      <c r="O2" s="11" t="s">
        <v>85</v>
      </c>
      <c r="P2" s="11" t="s">
        <v>86</v>
      </c>
      <c r="Q2" s="11" t="s">
        <v>67</v>
      </c>
    </row>
    <row r="3" spans="1:17">
      <c r="B3" s="14"/>
      <c r="C3" s="14"/>
      <c r="D3" s="14" t="s">
        <v>87</v>
      </c>
      <c r="E3" s="14"/>
      <c r="F3" s="14"/>
      <c r="G3" s="14" t="s">
        <v>87</v>
      </c>
      <c r="H3" s="39">
        <v>1.85</v>
      </c>
      <c r="I3" s="14"/>
      <c r="J3" s="14"/>
      <c r="K3" s="14"/>
      <c r="L3" s="14"/>
      <c r="M3" s="14"/>
      <c r="N3" s="14"/>
      <c r="O3" s="14"/>
      <c r="P3" s="14"/>
      <c r="Q3" s="14"/>
    </row>
    <row r="4" spans="1:17">
      <c r="A4" t="s">
        <v>88</v>
      </c>
      <c r="D4" t="s">
        <v>87</v>
      </c>
      <c r="G4" t="s">
        <v>87</v>
      </c>
      <c r="H4" s="40">
        <v>2.95</v>
      </c>
    </row>
    <row r="5" spans="1:17">
      <c r="D5" t="s">
        <v>89</v>
      </c>
      <c r="G5" t="s">
        <v>89</v>
      </c>
      <c r="H5" s="40">
        <v>5.5</v>
      </c>
    </row>
    <row r="6" spans="1:17">
      <c r="D6" t="s">
        <v>90</v>
      </c>
      <c r="G6" t="s">
        <v>90</v>
      </c>
      <c r="H6" s="40">
        <v>2.5</v>
      </c>
    </row>
    <row r="7" spans="1:17">
      <c r="D7" t="s">
        <v>91</v>
      </c>
      <c r="G7" t="s">
        <v>91</v>
      </c>
      <c r="H7" s="40">
        <v>2.5</v>
      </c>
    </row>
    <row r="8" spans="1:17">
      <c r="D8" t="s">
        <v>92</v>
      </c>
      <c r="G8" t="s">
        <v>92</v>
      </c>
      <c r="H8" s="40">
        <v>2.5</v>
      </c>
    </row>
    <row r="9" spans="1:17">
      <c r="C9" t="s">
        <v>93</v>
      </c>
      <c r="H9" s="40">
        <v>15</v>
      </c>
      <c r="I9" s="40">
        <v>1</v>
      </c>
      <c r="L9" s="40">
        <v>60</v>
      </c>
      <c r="Q9" t="s">
        <v>94</v>
      </c>
    </row>
    <row r="10" spans="1:17">
      <c r="C10" t="s">
        <v>95</v>
      </c>
      <c r="H10" s="40">
        <v>18</v>
      </c>
      <c r="I10" s="40">
        <v>2</v>
      </c>
      <c r="L10" s="40">
        <v>33</v>
      </c>
    </row>
    <row r="11" spans="1:17">
      <c r="C11" t="s">
        <v>96</v>
      </c>
      <c r="H11" s="40">
        <v>8</v>
      </c>
      <c r="I11" s="40">
        <v>3</v>
      </c>
      <c r="L11" s="40">
        <v>9</v>
      </c>
    </row>
    <row r="12" spans="1:17">
      <c r="C12" t="s">
        <v>97</v>
      </c>
      <c r="H12" s="40">
        <v>5</v>
      </c>
      <c r="I12" s="40">
        <v>4</v>
      </c>
      <c r="L12" s="40">
        <v>5</v>
      </c>
      <c r="Q12" t="s">
        <v>98</v>
      </c>
    </row>
    <row r="13" spans="1:17">
      <c r="C13" t="s">
        <v>99</v>
      </c>
      <c r="H13" s="40">
        <v>3</v>
      </c>
      <c r="I13" s="40">
        <v>5</v>
      </c>
      <c r="L13" s="40">
        <v>10</v>
      </c>
    </row>
    <row r="14" spans="1:17">
      <c r="C14" t="s">
        <v>100</v>
      </c>
      <c r="H14" s="40">
        <v>2</v>
      </c>
      <c r="I14" s="40">
        <v>6</v>
      </c>
      <c r="L14" s="40">
        <v>6</v>
      </c>
    </row>
    <row r="15" spans="1:17">
      <c r="C15" t="s">
        <v>101</v>
      </c>
      <c r="H15" s="40">
        <v>5</v>
      </c>
      <c r="I15" s="40">
        <v>7</v>
      </c>
      <c r="L15" s="40">
        <v>5</v>
      </c>
      <c r="Q15" t="s">
        <v>98</v>
      </c>
    </row>
    <row r="16" spans="1:17">
      <c r="C16" t="s">
        <v>102</v>
      </c>
      <c r="H16" s="40">
        <v>2</v>
      </c>
      <c r="I16" s="40">
        <v>8</v>
      </c>
      <c r="L16" s="40">
        <v>5.5</v>
      </c>
    </row>
    <row r="17" spans="3:17">
      <c r="C17" t="s">
        <v>93</v>
      </c>
      <c r="H17" s="40">
        <v>30</v>
      </c>
      <c r="I17" s="40">
        <v>75</v>
      </c>
    </row>
    <row r="18" spans="3:17">
      <c r="C18" t="s">
        <v>95</v>
      </c>
      <c r="H18" s="40">
        <v>10</v>
      </c>
      <c r="I18" s="40">
        <v>51</v>
      </c>
      <c r="L18" s="40">
        <v>10</v>
      </c>
    </row>
    <row r="19" spans="3:17">
      <c r="C19" t="s">
        <v>96</v>
      </c>
      <c r="H19" s="40">
        <v>2</v>
      </c>
      <c r="I19" s="40">
        <v>17</v>
      </c>
      <c r="L19" s="40">
        <v>2</v>
      </c>
    </row>
    <row r="20" spans="3:17">
      <c r="C20" t="s">
        <v>97</v>
      </c>
      <c r="H20" s="40">
        <v>5</v>
      </c>
      <c r="I20" s="40">
        <v>5</v>
      </c>
    </row>
    <row r="21" spans="3:17">
      <c r="C21" t="s">
        <v>99</v>
      </c>
      <c r="H21" s="40">
        <v>1</v>
      </c>
      <c r="I21" s="40">
        <v>13</v>
      </c>
      <c r="L21" s="40">
        <v>2.5</v>
      </c>
    </row>
    <row r="22" spans="3:17">
      <c r="C22" t="s">
        <v>100</v>
      </c>
      <c r="H22" s="40">
        <v>2</v>
      </c>
      <c r="I22" s="40">
        <v>8</v>
      </c>
    </row>
    <row r="23" spans="3:17">
      <c r="C23" t="s">
        <v>101</v>
      </c>
      <c r="H23" s="40">
        <v>5</v>
      </c>
      <c r="I23" s="40">
        <v>5</v>
      </c>
    </row>
    <row r="24" spans="3:17">
      <c r="C24" t="s">
        <v>102</v>
      </c>
      <c r="H24" s="40">
        <v>1</v>
      </c>
      <c r="I24" s="40">
        <v>7.5</v>
      </c>
      <c r="L24" s="40">
        <v>1</v>
      </c>
    </row>
    <row r="25" spans="3:17">
      <c r="C25" t="s">
        <v>93</v>
      </c>
      <c r="H25" s="40">
        <v>60</v>
      </c>
      <c r="I25" s="40">
        <v>15</v>
      </c>
      <c r="L25" s="40">
        <v>67.5</v>
      </c>
    </row>
    <row r="26" spans="3:17">
      <c r="C26" t="s">
        <v>101</v>
      </c>
    </row>
    <row r="27" spans="3:17">
      <c r="C27" t="s">
        <v>102</v>
      </c>
    </row>
    <row r="28" spans="3:17">
      <c r="C28" t="s">
        <v>102</v>
      </c>
      <c r="H28" s="40">
        <v>5.5</v>
      </c>
      <c r="I28" s="40">
        <v>2</v>
      </c>
      <c r="L28" s="40">
        <v>6.5</v>
      </c>
      <c r="Q28" t="s">
        <v>103</v>
      </c>
    </row>
    <row r="29" spans="3:17">
      <c r="C29" t="s">
        <v>100</v>
      </c>
    </row>
    <row r="30" spans="3:17">
      <c r="C30" t="s">
        <v>100</v>
      </c>
      <c r="H30" s="40">
        <v>6</v>
      </c>
      <c r="I30" s="40">
        <v>2</v>
      </c>
      <c r="L30" s="40">
        <v>8</v>
      </c>
    </row>
    <row r="31" spans="3:17">
      <c r="C31" t="s">
        <v>95</v>
      </c>
    </row>
    <row r="32" spans="3:17">
      <c r="C32" t="s">
        <v>95</v>
      </c>
      <c r="H32" s="40">
        <v>33</v>
      </c>
      <c r="I32" s="40">
        <v>18</v>
      </c>
      <c r="L32" s="40">
        <v>41</v>
      </c>
    </row>
    <row r="33" spans="3:17">
      <c r="C33" t="s">
        <v>96</v>
      </c>
    </row>
    <row r="34" spans="3:17">
      <c r="C34" t="s">
        <v>96</v>
      </c>
      <c r="H34" s="40">
        <v>9</v>
      </c>
      <c r="I34" s="40">
        <v>8</v>
      </c>
      <c r="L34" s="40">
        <v>14</v>
      </c>
    </row>
    <row r="35" spans="3:17">
      <c r="C35" t="s">
        <v>99</v>
      </c>
    </row>
    <row r="36" spans="3:17">
      <c r="C36" t="s">
        <v>99</v>
      </c>
      <c r="H36" s="40">
        <v>10</v>
      </c>
      <c r="I36" s="40">
        <v>3</v>
      </c>
      <c r="L36" s="40">
        <v>11.5</v>
      </c>
      <c r="Q36" t="s">
        <v>104</v>
      </c>
    </row>
    <row r="37" spans="3:17">
      <c r="C37" t="s">
        <v>97</v>
      </c>
    </row>
    <row r="38" spans="3:17">
      <c r="C38" t="s">
        <v>99</v>
      </c>
      <c r="D38" t="s">
        <v>87</v>
      </c>
      <c r="G38" t="s">
        <v>87</v>
      </c>
      <c r="H38" s="40">
        <v>8</v>
      </c>
      <c r="I38" s="40">
        <v>8.1</v>
      </c>
      <c r="L38" s="40">
        <v>400</v>
      </c>
    </row>
    <row r="39" spans="3:17">
      <c r="C39" t="s">
        <v>99</v>
      </c>
      <c r="D39" t="s">
        <v>87</v>
      </c>
      <c r="G39" t="s">
        <v>87</v>
      </c>
      <c r="H39" s="40">
        <v>400</v>
      </c>
    </row>
    <row r="40" spans="3:17">
      <c r="C40" t="s">
        <v>99</v>
      </c>
      <c r="D40" t="s">
        <v>87</v>
      </c>
      <c r="G40" t="s">
        <v>87</v>
      </c>
      <c r="H40" s="40">
        <v>300</v>
      </c>
    </row>
    <row r="41" spans="3:17">
      <c r="C41" t="s">
        <v>99</v>
      </c>
      <c r="D41" t="s">
        <v>87</v>
      </c>
      <c r="G41" t="s">
        <v>87</v>
      </c>
      <c r="H41" s="40">
        <v>9</v>
      </c>
      <c r="I41" s="40">
        <v>8.1</v>
      </c>
      <c r="L41" s="40">
        <v>400</v>
      </c>
    </row>
    <row r="42" spans="3:17">
      <c r="C42" t="s">
        <v>99</v>
      </c>
      <c r="D42" t="s">
        <v>91</v>
      </c>
      <c r="G42" t="s">
        <v>91</v>
      </c>
      <c r="H42" s="40">
        <v>12</v>
      </c>
      <c r="I42" s="40">
        <v>1000</v>
      </c>
      <c r="L42" s="40">
        <v>400</v>
      </c>
    </row>
    <row r="43" spans="3:17">
      <c r="C43" t="s">
        <v>99</v>
      </c>
      <c r="D43" t="s">
        <v>91</v>
      </c>
      <c r="G43" t="s">
        <v>91</v>
      </c>
      <c r="H43" s="40">
        <v>400</v>
      </c>
    </row>
    <row r="44" spans="3:17">
      <c r="C44" t="s">
        <v>99</v>
      </c>
      <c r="D44" t="s">
        <v>92</v>
      </c>
      <c r="G44" t="s">
        <v>92</v>
      </c>
      <c r="H44" s="40">
        <v>13</v>
      </c>
      <c r="I44" s="40">
        <v>2500</v>
      </c>
      <c r="L44" s="40">
        <v>400</v>
      </c>
    </row>
    <row r="45" spans="3:17">
      <c r="C45" t="s">
        <v>99</v>
      </c>
      <c r="D45" t="s">
        <v>92</v>
      </c>
      <c r="G45" t="s">
        <v>92</v>
      </c>
      <c r="H45" s="40">
        <v>400</v>
      </c>
    </row>
    <row r="46" spans="3:17">
      <c r="C46" t="s">
        <v>99</v>
      </c>
      <c r="D46" t="s">
        <v>92</v>
      </c>
      <c r="G46" t="s">
        <v>92</v>
      </c>
      <c r="H46" s="40">
        <v>2</v>
      </c>
    </row>
    <row r="47" spans="3:17">
      <c r="C47" t="s">
        <v>99</v>
      </c>
      <c r="D47" t="s">
        <v>91</v>
      </c>
      <c r="G47" t="s">
        <v>91</v>
      </c>
      <c r="H47" s="40">
        <v>11</v>
      </c>
      <c r="I47" s="40">
        <v>1500</v>
      </c>
      <c r="L47" s="40">
        <v>400</v>
      </c>
    </row>
    <row r="48" spans="3:17">
      <c r="C48" t="s">
        <v>99</v>
      </c>
      <c r="D48" t="s">
        <v>89</v>
      </c>
      <c r="G48" t="s">
        <v>89</v>
      </c>
      <c r="H48" s="40">
        <v>1</v>
      </c>
      <c r="I48" s="40">
        <v>2500</v>
      </c>
      <c r="L48" s="40">
        <v>400</v>
      </c>
    </row>
    <row r="49" spans="3:17">
      <c r="C49" t="s">
        <v>99</v>
      </c>
      <c r="D49" t="s">
        <v>89</v>
      </c>
      <c r="G49" t="s">
        <v>89</v>
      </c>
      <c r="H49" s="40">
        <v>400</v>
      </c>
    </row>
    <row r="50" spans="3:17">
      <c r="C50" t="s">
        <v>99</v>
      </c>
      <c r="D50" t="s">
        <v>90</v>
      </c>
      <c r="G50" t="s">
        <v>90</v>
      </c>
      <c r="H50" s="40">
        <v>400</v>
      </c>
    </row>
    <row r="51" spans="3:17">
      <c r="C51" t="s">
        <v>99</v>
      </c>
      <c r="D51" t="s">
        <v>89</v>
      </c>
      <c r="G51" t="s">
        <v>89</v>
      </c>
      <c r="H51" s="40">
        <v>3</v>
      </c>
      <c r="I51" s="40">
        <v>3000</v>
      </c>
      <c r="L51" s="40">
        <v>765</v>
      </c>
    </row>
    <row r="52" spans="3:17">
      <c r="C52" t="s">
        <v>99</v>
      </c>
      <c r="D52" t="s">
        <v>89</v>
      </c>
      <c r="G52" t="s">
        <v>89</v>
      </c>
      <c r="H52" s="40">
        <v>765</v>
      </c>
    </row>
    <row r="53" spans="3:17">
      <c r="C53" t="s">
        <v>93</v>
      </c>
      <c r="H53" s="40">
        <v>7</v>
      </c>
      <c r="I53" s="40">
        <v>0</v>
      </c>
      <c r="L53" s="40">
        <v>7</v>
      </c>
    </row>
    <row r="54" spans="3:17">
      <c r="C54" t="s">
        <v>93</v>
      </c>
      <c r="H54" s="40">
        <v>6</v>
      </c>
      <c r="I54" s="40">
        <v>6</v>
      </c>
      <c r="L54" s="40">
        <v>12</v>
      </c>
    </row>
    <row r="55" spans="3:17">
      <c r="C55" t="s">
        <v>93</v>
      </c>
      <c r="H55" s="40">
        <v>6</v>
      </c>
      <c r="I55" s="40">
        <v>4</v>
      </c>
      <c r="L55" s="40">
        <v>10</v>
      </c>
    </row>
    <row r="56" spans="3:17">
      <c r="C56" t="s">
        <v>93</v>
      </c>
      <c r="H56" s="40">
        <v>3</v>
      </c>
      <c r="I56" s="40">
        <v>0</v>
      </c>
      <c r="L56" s="40">
        <v>3</v>
      </c>
    </row>
    <row r="57" spans="3:17">
      <c r="C57" t="s">
        <v>93</v>
      </c>
      <c r="H57" s="40">
        <v>2</v>
      </c>
      <c r="I57" s="40">
        <v>0</v>
      </c>
      <c r="L57" s="40">
        <v>2</v>
      </c>
    </row>
    <row r="58" spans="3:17">
      <c r="C58" t="s">
        <v>93</v>
      </c>
      <c r="H58" s="40">
        <v>3</v>
      </c>
      <c r="I58" s="40">
        <v>2</v>
      </c>
      <c r="L58" s="40">
        <v>5</v>
      </c>
    </row>
    <row r="59" spans="3:17">
      <c r="C59" t="s">
        <v>93</v>
      </c>
      <c r="H59" s="40">
        <v>4</v>
      </c>
      <c r="I59" s="40">
        <v>3</v>
      </c>
      <c r="L59" s="40">
        <v>7</v>
      </c>
    </row>
    <row r="60" spans="3:17">
      <c r="C60" t="s">
        <v>93</v>
      </c>
      <c r="H60" s="40">
        <v>6</v>
      </c>
      <c r="I60" s="40">
        <v>0</v>
      </c>
      <c r="L60" s="40">
        <v>6</v>
      </c>
    </row>
    <row r="61" spans="3:17">
      <c r="C61" t="s">
        <v>93</v>
      </c>
      <c r="H61" s="40">
        <v>5</v>
      </c>
      <c r="I61" s="40">
        <v>0</v>
      </c>
      <c r="L61" s="40">
        <v>5</v>
      </c>
    </row>
    <row r="62" spans="3:17">
      <c r="C62" t="s">
        <v>102</v>
      </c>
      <c r="H62" s="40">
        <v>1</v>
      </c>
      <c r="I62" s="40">
        <v>0</v>
      </c>
      <c r="L62" s="40">
        <v>1</v>
      </c>
    </row>
    <row r="63" spans="3:17">
      <c r="C63" t="s">
        <v>102</v>
      </c>
      <c r="H63" s="40">
        <v>1</v>
      </c>
      <c r="I63" s="40">
        <v>1</v>
      </c>
      <c r="L63" s="40">
        <v>2</v>
      </c>
    </row>
    <row r="64" spans="3:17">
      <c r="C64" t="s">
        <v>102</v>
      </c>
      <c r="H64" s="40">
        <v>2.5</v>
      </c>
      <c r="I64" s="40">
        <v>2.5</v>
      </c>
      <c r="L64" s="40">
        <v>0</v>
      </c>
      <c r="Q64" t="s">
        <v>105</v>
      </c>
    </row>
    <row r="65" spans="3:17">
      <c r="C65" t="s">
        <v>101</v>
      </c>
      <c r="H65" s="40">
        <v>5</v>
      </c>
      <c r="I65" s="40">
        <v>5</v>
      </c>
      <c r="L65" s="40">
        <v>2</v>
      </c>
    </row>
    <row r="66" spans="3:17">
      <c r="C66" t="s">
        <v>99</v>
      </c>
      <c r="H66" s="40">
        <v>2.5</v>
      </c>
      <c r="I66" s="40">
        <v>1</v>
      </c>
      <c r="L66" s="40">
        <v>3.5</v>
      </c>
    </row>
    <row r="67" spans="3:17">
      <c r="C67" t="s">
        <v>99</v>
      </c>
      <c r="H67" s="40">
        <v>2.5</v>
      </c>
      <c r="I67" s="40">
        <v>0</v>
      </c>
      <c r="L67" s="40">
        <v>2.5</v>
      </c>
      <c r="Q67" t="s">
        <v>106</v>
      </c>
    </row>
    <row r="68" spans="3:17">
      <c r="C68" t="s">
        <v>96</v>
      </c>
      <c r="H68" s="40">
        <v>2</v>
      </c>
      <c r="I68" s="40">
        <v>2</v>
      </c>
      <c r="L68" s="40">
        <v>4</v>
      </c>
    </row>
    <row r="69" spans="3:17">
      <c r="C69" t="s">
        <v>96</v>
      </c>
      <c r="H69" s="40">
        <v>0</v>
      </c>
      <c r="I69" s="40">
        <v>2</v>
      </c>
      <c r="L69" s="40">
        <v>2</v>
      </c>
    </row>
    <row r="70" spans="3:17">
      <c r="C70" t="s">
        <v>96</v>
      </c>
      <c r="H70" s="40">
        <v>1.5</v>
      </c>
      <c r="I70" s="40">
        <v>0</v>
      </c>
      <c r="L70" s="40">
        <v>1.5</v>
      </c>
    </row>
    <row r="71" spans="3:17">
      <c r="C71" t="s">
        <v>97</v>
      </c>
      <c r="H71" s="40">
        <v>5</v>
      </c>
      <c r="I71" s="40">
        <v>5</v>
      </c>
      <c r="L71" s="40">
        <v>0</v>
      </c>
    </row>
    <row r="72" spans="3:17">
      <c r="C72" t="s">
        <v>97</v>
      </c>
      <c r="E72" t="s">
        <v>107</v>
      </c>
      <c r="F72" t="s">
        <v>107</v>
      </c>
      <c r="H72" s="40">
        <v>7</v>
      </c>
      <c r="I72" s="40">
        <v>0</v>
      </c>
      <c r="K72" s="40">
        <v>0</v>
      </c>
      <c r="L72" s="40">
        <v>7</v>
      </c>
    </row>
    <row r="73" spans="3:17">
      <c r="C73" t="s">
        <v>97</v>
      </c>
      <c r="E73" t="s">
        <v>108</v>
      </c>
      <c r="F73" t="s">
        <v>108</v>
      </c>
      <c r="H73" s="40">
        <v>7</v>
      </c>
      <c r="I73" s="40">
        <v>0</v>
      </c>
      <c r="K73" s="40">
        <v>0</v>
      </c>
      <c r="L73" s="40">
        <v>7</v>
      </c>
    </row>
    <row r="74" spans="3:17">
      <c r="C74" t="s">
        <v>97</v>
      </c>
      <c r="E74" t="s">
        <v>109</v>
      </c>
      <c r="F74" t="s">
        <v>109</v>
      </c>
      <c r="H74" s="40">
        <v>6</v>
      </c>
      <c r="I74" s="40">
        <v>6</v>
      </c>
      <c r="K74" s="40">
        <v>2</v>
      </c>
      <c r="L74" s="40">
        <v>12</v>
      </c>
    </row>
    <row r="75" spans="3:17">
      <c r="C75" t="s">
        <v>97</v>
      </c>
      <c r="E75" t="s">
        <v>110</v>
      </c>
      <c r="F75" t="s">
        <v>110</v>
      </c>
      <c r="H75" s="40">
        <v>6</v>
      </c>
      <c r="I75" s="40">
        <v>4</v>
      </c>
      <c r="K75" s="40">
        <v>2</v>
      </c>
      <c r="L75" s="40">
        <v>10</v>
      </c>
    </row>
    <row r="76" spans="3:17">
      <c r="C76" t="s">
        <v>97</v>
      </c>
      <c r="E76" t="s">
        <v>111</v>
      </c>
      <c r="F76" t="s">
        <v>111</v>
      </c>
      <c r="H76" s="40">
        <v>3</v>
      </c>
      <c r="I76" s="40">
        <v>0</v>
      </c>
      <c r="K76" s="40">
        <v>0</v>
      </c>
      <c r="L76" s="40">
        <v>3</v>
      </c>
    </row>
    <row r="77" spans="3:17">
      <c r="C77" t="s">
        <v>97</v>
      </c>
      <c r="E77" t="s">
        <v>112</v>
      </c>
      <c r="F77" t="s">
        <v>112</v>
      </c>
      <c r="H77" s="40">
        <v>3</v>
      </c>
      <c r="I77" s="40">
        <v>0</v>
      </c>
      <c r="K77" s="40">
        <v>0</v>
      </c>
      <c r="L77" s="40">
        <v>3</v>
      </c>
    </row>
    <row r="78" spans="3:17">
      <c r="C78" t="s">
        <v>97</v>
      </c>
      <c r="E78" t="s">
        <v>113</v>
      </c>
      <c r="F78" t="s">
        <v>113</v>
      </c>
      <c r="H78" s="40">
        <v>3</v>
      </c>
      <c r="I78" s="40">
        <v>0</v>
      </c>
      <c r="K78" s="40">
        <v>0</v>
      </c>
      <c r="L78" s="40">
        <v>3</v>
      </c>
    </row>
    <row r="79" spans="3:17">
      <c r="C79" t="s">
        <v>97</v>
      </c>
      <c r="E79" t="s">
        <v>114</v>
      </c>
      <c r="F79" t="s">
        <v>114</v>
      </c>
      <c r="H79" s="40">
        <v>3</v>
      </c>
      <c r="I79" s="40">
        <v>0</v>
      </c>
      <c r="K79" s="40">
        <v>0</v>
      </c>
      <c r="L79" s="40">
        <v>3</v>
      </c>
    </row>
    <row r="80" spans="3:17">
      <c r="C80" t="s">
        <v>97</v>
      </c>
      <c r="E80" t="s">
        <v>115</v>
      </c>
      <c r="F80" t="s">
        <v>115</v>
      </c>
      <c r="H80" s="40">
        <v>2</v>
      </c>
      <c r="I80" s="40">
        <v>0</v>
      </c>
      <c r="K80" s="40">
        <v>0</v>
      </c>
      <c r="L80" s="40">
        <v>2</v>
      </c>
    </row>
    <row r="81" spans="3:12">
      <c r="C81" t="s">
        <v>97</v>
      </c>
      <c r="E81" t="s">
        <v>116</v>
      </c>
      <c r="F81" t="s">
        <v>116</v>
      </c>
      <c r="H81" s="40">
        <v>2</v>
      </c>
      <c r="I81" s="40">
        <v>0</v>
      </c>
      <c r="K81" s="40">
        <v>0</v>
      </c>
      <c r="L81" s="40">
        <v>2</v>
      </c>
    </row>
    <row r="82" spans="3:12">
      <c r="C82" t="s">
        <v>97</v>
      </c>
      <c r="E82" t="s">
        <v>117</v>
      </c>
      <c r="F82" t="s">
        <v>117</v>
      </c>
      <c r="H82" s="40">
        <v>3</v>
      </c>
      <c r="I82" s="40">
        <v>2</v>
      </c>
      <c r="K82" s="40">
        <v>0</v>
      </c>
      <c r="L82" s="40">
        <v>5</v>
      </c>
    </row>
    <row r="83" spans="3:12">
      <c r="C83" t="s">
        <v>97</v>
      </c>
      <c r="E83" t="s">
        <v>118</v>
      </c>
      <c r="F83" t="s">
        <v>118</v>
      </c>
      <c r="H83" s="40">
        <v>4</v>
      </c>
      <c r="I83" s="40">
        <v>3</v>
      </c>
      <c r="K83" s="40">
        <v>2</v>
      </c>
      <c r="L83" s="40">
        <v>7</v>
      </c>
    </row>
    <row r="84" spans="3:12">
      <c r="C84" t="s">
        <v>97</v>
      </c>
      <c r="E84" t="s">
        <v>119</v>
      </c>
      <c r="F84" t="s">
        <v>119</v>
      </c>
      <c r="H84" s="40">
        <v>6</v>
      </c>
      <c r="I84" s="40">
        <v>0</v>
      </c>
      <c r="K84" s="40">
        <v>0</v>
      </c>
      <c r="L84" s="40">
        <v>6</v>
      </c>
    </row>
    <row r="85" spans="3:12">
      <c r="C85" t="s">
        <v>97</v>
      </c>
      <c r="E85" t="s">
        <v>120</v>
      </c>
      <c r="F85" t="s">
        <v>120</v>
      </c>
      <c r="H85" s="40">
        <v>5</v>
      </c>
      <c r="I85" s="40">
        <v>0</v>
      </c>
      <c r="K85" s="40">
        <v>0</v>
      </c>
      <c r="L85" s="40">
        <v>5</v>
      </c>
    </row>
    <row r="86" spans="3:12">
      <c r="C86" t="s">
        <v>97</v>
      </c>
      <c r="E86" t="s">
        <v>121</v>
      </c>
      <c r="F86" t="s">
        <v>121</v>
      </c>
      <c r="H86" s="40">
        <v>60</v>
      </c>
      <c r="I86" s="40">
        <v>15</v>
      </c>
      <c r="K86" s="40">
        <v>6</v>
      </c>
      <c r="L86" s="40">
        <v>75</v>
      </c>
    </row>
    <row r="87" spans="3:12">
      <c r="C87" t="s">
        <v>97</v>
      </c>
      <c r="E87" t="s">
        <v>122</v>
      </c>
      <c r="F87" t="s">
        <v>122</v>
      </c>
      <c r="H87" s="40">
        <v>5</v>
      </c>
      <c r="I87" s="40">
        <v>0</v>
      </c>
      <c r="K87" s="40">
        <v>0</v>
      </c>
      <c r="L87" s="40">
        <v>5</v>
      </c>
    </row>
    <row r="88" spans="3:12">
      <c r="C88" t="s">
        <v>97</v>
      </c>
      <c r="E88" t="s">
        <v>123</v>
      </c>
      <c r="F88" t="s">
        <v>123</v>
      </c>
      <c r="H88" s="40">
        <v>5</v>
      </c>
      <c r="I88" s="40">
        <v>0</v>
      </c>
      <c r="K88" s="40">
        <v>0</v>
      </c>
      <c r="L88" s="40">
        <v>5</v>
      </c>
    </row>
    <row r="89" spans="3:12">
      <c r="C89" t="s">
        <v>97</v>
      </c>
      <c r="E89" t="s">
        <v>124</v>
      </c>
      <c r="F89" t="s">
        <v>124</v>
      </c>
      <c r="H89" s="40">
        <v>7.5</v>
      </c>
      <c r="I89" s="40">
        <v>4</v>
      </c>
      <c r="K89" s="40">
        <v>3</v>
      </c>
      <c r="L89" s="40">
        <v>11.5</v>
      </c>
    </row>
    <row r="90" spans="3:12">
      <c r="C90" t="s">
        <v>97</v>
      </c>
      <c r="E90" t="s">
        <v>125</v>
      </c>
      <c r="F90" t="s">
        <v>125</v>
      </c>
      <c r="H90" s="40">
        <v>7.5</v>
      </c>
      <c r="I90" s="40">
        <v>4</v>
      </c>
      <c r="K90" s="40">
        <v>3</v>
      </c>
      <c r="L90" s="40">
        <v>11.5</v>
      </c>
    </row>
    <row r="91" spans="3:12">
      <c r="C91" t="s">
        <v>97</v>
      </c>
      <c r="E91" t="s">
        <v>90</v>
      </c>
      <c r="F91" t="s">
        <v>90</v>
      </c>
      <c r="H91" s="40">
        <v>2</v>
      </c>
      <c r="I91" s="40">
        <v>2</v>
      </c>
      <c r="K91" s="40">
        <v>1</v>
      </c>
      <c r="L91" s="40">
        <v>4</v>
      </c>
    </row>
    <row r="92" spans="3:12">
      <c r="C92" t="s">
        <v>97</v>
      </c>
      <c r="E92" t="s">
        <v>126</v>
      </c>
      <c r="F92" t="s">
        <v>126</v>
      </c>
      <c r="H92" s="40">
        <v>8</v>
      </c>
      <c r="I92" s="40">
        <v>8</v>
      </c>
      <c r="K92" s="40">
        <v>4</v>
      </c>
      <c r="L92" s="40">
        <v>16</v>
      </c>
    </row>
    <row r="93" spans="3:12">
      <c r="C93" t="s">
        <v>97</v>
      </c>
      <c r="E93" t="s">
        <v>127</v>
      </c>
      <c r="F93" t="s">
        <v>127</v>
      </c>
      <c r="H93" s="40">
        <v>8</v>
      </c>
      <c r="I93" s="40">
        <v>0</v>
      </c>
      <c r="K93" s="40">
        <v>3</v>
      </c>
      <c r="L93" s="40">
        <v>8</v>
      </c>
    </row>
    <row r="94" spans="3:12">
      <c r="C94" t="s">
        <v>97</v>
      </c>
      <c r="E94" t="s">
        <v>121</v>
      </c>
      <c r="F94" t="s">
        <v>121</v>
      </c>
      <c r="H94" s="40">
        <v>33</v>
      </c>
      <c r="I94" s="40">
        <v>18</v>
      </c>
      <c r="K94" s="40">
        <v>14</v>
      </c>
      <c r="L94" s="40">
        <v>51</v>
      </c>
    </row>
    <row r="95" spans="3:12">
      <c r="C95" t="s">
        <v>97</v>
      </c>
      <c r="E95" t="s">
        <v>128</v>
      </c>
      <c r="F95" t="s">
        <v>128</v>
      </c>
      <c r="H95" s="40">
        <v>2</v>
      </c>
      <c r="I95" s="40">
        <v>2</v>
      </c>
      <c r="K95" s="40">
        <v>1</v>
      </c>
      <c r="L95" s="40">
        <v>4</v>
      </c>
    </row>
    <row r="96" spans="3:12">
      <c r="C96" t="s">
        <v>97</v>
      </c>
      <c r="E96" t="s">
        <v>129</v>
      </c>
      <c r="F96" t="s">
        <v>129</v>
      </c>
      <c r="H96" s="40">
        <v>2</v>
      </c>
      <c r="I96" s="40">
        <v>2</v>
      </c>
      <c r="K96" s="40">
        <v>1</v>
      </c>
      <c r="L96" s="40">
        <v>4</v>
      </c>
    </row>
    <row r="97" spans="3:12">
      <c r="C97" t="s">
        <v>97</v>
      </c>
      <c r="E97" t="s">
        <v>130</v>
      </c>
      <c r="F97" t="s">
        <v>130</v>
      </c>
      <c r="H97" s="40">
        <v>2</v>
      </c>
      <c r="I97" s="40">
        <v>2</v>
      </c>
      <c r="K97" s="40">
        <v>1</v>
      </c>
      <c r="L97" s="40">
        <v>4</v>
      </c>
    </row>
    <row r="98" spans="3:12">
      <c r="C98" t="s">
        <v>97</v>
      </c>
      <c r="E98" t="s">
        <v>131</v>
      </c>
      <c r="F98" t="s">
        <v>131</v>
      </c>
      <c r="H98" s="40">
        <v>0</v>
      </c>
      <c r="I98" s="40">
        <v>2</v>
      </c>
      <c r="K98" s="40">
        <v>0</v>
      </c>
      <c r="L98" s="40">
        <v>2</v>
      </c>
    </row>
    <row r="99" spans="3:12">
      <c r="C99" t="s">
        <v>97</v>
      </c>
      <c r="E99" t="s">
        <v>132</v>
      </c>
      <c r="F99" t="s">
        <v>132</v>
      </c>
      <c r="H99" s="40">
        <v>1.5</v>
      </c>
      <c r="I99" s="40">
        <v>0</v>
      </c>
      <c r="K99" s="40">
        <v>0</v>
      </c>
      <c r="L99" s="40">
        <v>1.5</v>
      </c>
    </row>
    <row r="100" spans="3:12">
      <c r="C100" t="s">
        <v>97</v>
      </c>
      <c r="E100" t="s">
        <v>133</v>
      </c>
      <c r="F100" t="s">
        <v>133</v>
      </c>
      <c r="H100" s="40">
        <v>1.5</v>
      </c>
      <c r="I100" s="40">
        <v>0</v>
      </c>
      <c r="K100" s="40">
        <v>0</v>
      </c>
      <c r="L100" s="40">
        <v>1.5</v>
      </c>
    </row>
    <row r="101" spans="3:12">
      <c r="C101" t="s">
        <v>97</v>
      </c>
      <c r="E101" t="s">
        <v>121</v>
      </c>
      <c r="F101" t="s">
        <v>121</v>
      </c>
      <c r="H101" s="40">
        <v>9</v>
      </c>
      <c r="I101" s="40">
        <v>8</v>
      </c>
      <c r="K101" s="40">
        <v>3</v>
      </c>
      <c r="L101" s="40">
        <v>17</v>
      </c>
    </row>
    <row r="102" spans="3:12">
      <c r="C102" t="s">
        <v>97</v>
      </c>
      <c r="E102" t="s">
        <v>134</v>
      </c>
      <c r="F102" t="s">
        <v>134</v>
      </c>
      <c r="H102" s="40">
        <v>2.5</v>
      </c>
      <c r="I102" s="40">
        <v>1</v>
      </c>
      <c r="K102" s="40">
        <v>1</v>
      </c>
      <c r="L102" s="40">
        <v>3.5</v>
      </c>
    </row>
    <row r="103" spans="3:12">
      <c r="C103" t="s">
        <v>97</v>
      </c>
      <c r="E103" t="s">
        <v>135</v>
      </c>
      <c r="F103" t="s">
        <v>135</v>
      </c>
      <c r="H103" s="40">
        <v>2.5</v>
      </c>
      <c r="I103" s="40">
        <v>1</v>
      </c>
      <c r="K103" s="40">
        <v>1</v>
      </c>
      <c r="L103" s="40">
        <v>3.5</v>
      </c>
    </row>
    <row r="104" spans="3:12">
      <c r="C104" t="s">
        <v>97</v>
      </c>
      <c r="E104" t="s">
        <v>136</v>
      </c>
      <c r="F104" t="s">
        <v>136</v>
      </c>
      <c r="H104" s="40">
        <v>2.5</v>
      </c>
      <c r="I104" s="40">
        <v>1</v>
      </c>
      <c r="K104" s="40">
        <v>1</v>
      </c>
      <c r="L104" s="40">
        <v>3.5</v>
      </c>
    </row>
    <row r="105" spans="3:12">
      <c r="C105" t="s">
        <v>97</v>
      </c>
      <c r="E105" t="s">
        <v>137</v>
      </c>
      <c r="F105" t="s">
        <v>137</v>
      </c>
      <c r="H105" s="40">
        <v>2.5</v>
      </c>
      <c r="I105" s="40">
        <v>0</v>
      </c>
      <c r="K105" s="40">
        <v>0</v>
      </c>
      <c r="L105" s="40">
        <v>2.5</v>
      </c>
    </row>
    <row r="106" spans="3:12">
      <c r="C106" t="s">
        <v>97</v>
      </c>
      <c r="E106" t="s">
        <v>121</v>
      </c>
      <c r="F106" t="s">
        <v>121</v>
      </c>
      <c r="H106" s="40">
        <v>10</v>
      </c>
      <c r="I106" s="40">
        <v>3</v>
      </c>
      <c r="K106" s="40">
        <v>3</v>
      </c>
      <c r="L106" s="40">
        <v>13</v>
      </c>
    </row>
    <row r="107" spans="3:12">
      <c r="C107" t="s">
        <v>97</v>
      </c>
      <c r="E107" t="s">
        <v>138</v>
      </c>
      <c r="F107" t="s">
        <v>138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X9"/>
  <sheetViews>
    <sheetView workbookViewId="0">
      <selection activeCell="F4" sqref="F4"/>
    </sheetView>
  </sheetViews>
  <sheetFormatPr defaultRowHeight="12.5"/>
  <cols>
    <col min="1" max="1" width="39.81640625" customWidth="1"/>
    <col min="5" max="5" width="10.7265625" customWidth="1"/>
    <col min="6" max="6" width="13.54296875" customWidth="1"/>
    <col min="7" max="7" width="20.90625" customWidth="1"/>
    <col min="8" max="8" width="19.54296875" customWidth="1"/>
    <col min="9" max="9" width="14.453125" customWidth="1"/>
    <col min="10" max="10" width="33" customWidth="1"/>
    <col min="11" max="11" width="22.81640625" bestFit="1" customWidth="1"/>
    <col min="12" max="12" width="15" customWidth="1"/>
    <col min="24" max="24" width="60.1796875" customWidth="1"/>
  </cols>
  <sheetData>
    <row r="2" spans="1:24" ht="62" customHeight="1">
      <c r="B2" s="7" t="s">
        <v>139</v>
      </c>
      <c r="C2" s="1" t="s">
        <v>31</v>
      </c>
      <c r="D2" s="1" t="s">
        <v>30</v>
      </c>
      <c r="E2" s="1" t="s">
        <v>140</v>
      </c>
      <c r="F2" s="1" t="s">
        <v>203</v>
      </c>
      <c r="G2" s="1" t="s">
        <v>141</v>
      </c>
      <c r="H2" s="4" t="s">
        <v>142</v>
      </c>
      <c r="I2" s="4"/>
      <c r="J2" s="4"/>
      <c r="K2" s="1" t="s">
        <v>143</v>
      </c>
      <c r="L2" s="4" t="s">
        <v>144</v>
      </c>
      <c r="M2" s="4"/>
      <c r="N2" s="4"/>
      <c r="O2" s="4" t="s">
        <v>144</v>
      </c>
      <c r="P2" s="4"/>
      <c r="Q2" s="4"/>
      <c r="R2" s="4" t="s">
        <v>145</v>
      </c>
      <c r="S2" s="4"/>
      <c r="T2" s="4"/>
      <c r="U2" s="4" t="s">
        <v>146</v>
      </c>
      <c r="V2" s="4"/>
      <c r="W2" s="4"/>
      <c r="X2" s="4" t="s">
        <v>147</v>
      </c>
    </row>
    <row r="3" spans="1:24" ht="31" customHeight="1">
      <c r="B3" s="8"/>
      <c r="C3" s="2"/>
      <c r="D3" s="2"/>
      <c r="E3" s="2"/>
      <c r="F3" s="2"/>
      <c r="G3" s="2"/>
      <c r="H3" s="6" t="s">
        <v>148</v>
      </c>
      <c r="I3" s="6" t="s">
        <v>149</v>
      </c>
      <c r="J3" s="6" t="s">
        <v>150</v>
      </c>
      <c r="K3" s="2"/>
      <c r="L3" s="6" t="s">
        <v>151</v>
      </c>
      <c r="M3" s="6" t="s">
        <v>152</v>
      </c>
      <c r="N3" s="6" t="s">
        <v>153</v>
      </c>
      <c r="O3" s="6" t="s">
        <v>151</v>
      </c>
      <c r="P3" s="6" t="s">
        <v>152</v>
      </c>
      <c r="Q3" s="6" t="s">
        <v>153</v>
      </c>
      <c r="R3" s="6" t="s">
        <v>151</v>
      </c>
      <c r="S3" s="6" t="s">
        <v>152</v>
      </c>
      <c r="T3" s="6" t="s">
        <v>153</v>
      </c>
      <c r="U3" s="6" t="s">
        <v>151</v>
      </c>
      <c r="V3" s="6" t="s">
        <v>152</v>
      </c>
      <c r="W3" s="6" t="s">
        <v>153</v>
      </c>
      <c r="X3" s="6"/>
    </row>
    <row r="4" spans="1:24">
      <c r="B4" s="14"/>
      <c r="C4" s="14"/>
      <c r="D4" s="14"/>
      <c r="E4" s="14"/>
      <c r="F4" s="14"/>
      <c r="G4" s="26" t="s">
        <v>154</v>
      </c>
      <c r="H4" s="14"/>
      <c r="I4" s="14"/>
      <c r="J4" s="14"/>
      <c r="K4" s="14"/>
      <c r="L4" s="14"/>
      <c r="M4" s="14"/>
      <c r="N4" s="14"/>
      <c r="O4" s="14"/>
      <c r="P4" s="14"/>
      <c r="Q4" s="14"/>
      <c r="R4" s="14"/>
      <c r="S4" s="14"/>
      <c r="T4" s="14"/>
      <c r="U4" s="14"/>
      <c r="V4" s="14"/>
      <c r="W4" s="14"/>
      <c r="X4" s="14"/>
    </row>
    <row r="5" spans="1:24">
      <c r="B5" s="14"/>
      <c r="C5" s="14"/>
      <c r="D5" s="14"/>
      <c r="E5" s="14"/>
      <c r="F5" s="14"/>
      <c r="G5" s="14" t="s">
        <v>155</v>
      </c>
      <c r="H5" s="14"/>
      <c r="I5" s="14"/>
      <c r="J5" s="14"/>
      <c r="K5" s="14"/>
      <c r="L5" s="14"/>
      <c r="M5" s="14"/>
      <c r="N5" s="14"/>
      <c r="O5" s="14"/>
      <c r="P5" s="14"/>
      <c r="Q5" s="14"/>
      <c r="R5" s="14"/>
      <c r="S5" s="14"/>
      <c r="T5" s="14"/>
      <c r="U5" s="14"/>
      <c r="V5" s="14"/>
      <c r="W5" s="14"/>
      <c r="X5" s="14"/>
    </row>
    <row r="6" spans="1:24">
      <c r="B6" s="14"/>
      <c r="C6" s="14"/>
      <c r="D6" s="14"/>
      <c r="E6" s="14"/>
      <c r="F6" s="14"/>
      <c r="G6" s="14" t="s">
        <v>156</v>
      </c>
      <c r="H6" s="14"/>
      <c r="I6" s="14"/>
      <c r="J6" s="14"/>
      <c r="K6" s="14"/>
      <c r="L6" s="14"/>
      <c r="M6" s="14"/>
      <c r="N6" s="14"/>
      <c r="O6" s="14"/>
      <c r="P6" s="14"/>
      <c r="Q6" s="14"/>
      <c r="R6" s="14"/>
      <c r="S6" s="14"/>
      <c r="T6" s="14"/>
      <c r="U6" s="14"/>
      <c r="V6" s="14"/>
      <c r="W6" s="14"/>
      <c r="X6" s="14"/>
    </row>
    <row r="7" spans="1:24">
      <c r="B7" s="14"/>
      <c r="C7" s="14"/>
      <c r="D7" s="14"/>
      <c r="E7" s="14"/>
      <c r="F7" s="14"/>
      <c r="G7" s="14" t="s">
        <v>157</v>
      </c>
      <c r="H7" s="14"/>
      <c r="I7" s="14"/>
      <c r="J7" s="14"/>
      <c r="K7" s="14"/>
      <c r="L7" s="14"/>
      <c r="M7" s="14"/>
      <c r="N7" s="14"/>
      <c r="O7" s="14"/>
      <c r="P7" s="14"/>
      <c r="Q7" s="14"/>
      <c r="R7" s="14"/>
      <c r="S7" s="14"/>
      <c r="T7" s="14"/>
      <c r="U7" s="14"/>
      <c r="V7" s="14"/>
      <c r="W7" s="14"/>
      <c r="X7" s="14"/>
    </row>
    <row r="8" spans="1:24">
      <c r="B8" s="14"/>
      <c r="C8" s="14"/>
      <c r="D8" s="14"/>
      <c r="E8" s="14"/>
      <c r="F8" s="14"/>
      <c r="G8" s="14" t="s">
        <v>158</v>
      </c>
      <c r="H8" s="14"/>
      <c r="I8" s="14"/>
      <c r="J8" s="14"/>
      <c r="K8" s="14"/>
      <c r="L8" s="14"/>
      <c r="M8" s="14"/>
      <c r="N8" s="14"/>
      <c r="O8" s="14"/>
      <c r="P8" s="14"/>
      <c r="Q8" s="14"/>
      <c r="R8" s="14"/>
      <c r="S8" s="14"/>
      <c r="T8" s="14"/>
      <c r="U8" s="14"/>
      <c r="V8" s="14"/>
      <c r="W8" s="14"/>
      <c r="X8" s="14"/>
    </row>
    <row r="9" spans="1:24">
      <c r="A9" t="s">
        <v>159</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4:O4"/>
  <sheetViews>
    <sheetView workbookViewId="0">
      <selection activeCell="K21" sqref="K21"/>
    </sheetView>
  </sheetViews>
  <sheetFormatPr defaultRowHeight="12.5"/>
  <sheetData>
    <row r="4" spans="2:15" ht="52">
      <c r="B4" s="38" t="s">
        <v>31</v>
      </c>
      <c r="C4" s="38" t="s">
        <v>160</v>
      </c>
      <c r="D4" s="38" t="s">
        <v>161</v>
      </c>
      <c r="E4" s="38" t="s">
        <v>162</v>
      </c>
      <c r="F4" s="38" t="s">
        <v>163</v>
      </c>
      <c r="G4" s="38" t="s">
        <v>164</v>
      </c>
      <c r="H4" s="38" t="s">
        <v>165</v>
      </c>
      <c r="I4" s="38" t="s">
        <v>166</v>
      </c>
      <c r="J4" s="38" t="s">
        <v>167</v>
      </c>
      <c r="K4" s="38" t="s">
        <v>168</v>
      </c>
      <c r="L4" s="38" t="s">
        <v>169</v>
      </c>
      <c r="M4" s="38" t="s">
        <v>170</v>
      </c>
      <c r="N4" s="38" t="s">
        <v>171</v>
      </c>
      <c r="O4" s="38" t="s">
        <v>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I6"/>
  <sheetViews>
    <sheetView workbookViewId="0">
      <selection activeCell="G3" sqref="G3:I3"/>
    </sheetView>
  </sheetViews>
  <sheetFormatPr defaultRowHeight="12.5"/>
  <cols>
    <col min="1" max="1" width="39.26953125" customWidth="1"/>
    <col min="2" max="2" width="11.1796875" customWidth="1"/>
    <col min="3" max="3" width="15.453125" customWidth="1"/>
    <col min="4" max="4" width="13.90625" customWidth="1"/>
    <col min="5" max="6" width="19.453125" customWidth="1"/>
    <col min="7" max="7" width="17.90625" customWidth="1"/>
    <col min="8" max="8" width="15.81640625" bestFit="1" customWidth="1"/>
    <col min="9" max="9" width="8.7265625" customWidth="1"/>
  </cols>
  <sheetData>
    <row r="3" spans="1:9" ht="37.5">
      <c r="B3" s="13" t="s">
        <v>172</v>
      </c>
      <c r="C3" s="13" t="s">
        <v>30</v>
      </c>
      <c r="D3" s="13" t="s">
        <v>31</v>
      </c>
      <c r="E3" s="13" t="s">
        <v>32</v>
      </c>
      <c r="F3" s="13" t="s">
        <v>204</v>
      </c>
      <c r="G3" s="41" t="s">
        <v>205</v>
      </c>
      <c r="H3" s="41" t="s">
        <v>206</v>
      </c>
      <c r="I3" s="41" t="s">
        <v>207</v>
      </c>
    </row>
    <row r="4" spans="1:9">
      <c r="B4" s="14"/>
      <c r="C4" s="14"/>
      <c r="D4" s="14"/>
      <c r="E4" s="14"/>
      <c r="F4" s="14"/>
      <c r="G4" s="14"/>
      <c r="H4" s="14"/>
      <c r="I4" s="14"/>
    </row>
    <row r="6" spans="1:9">
      <c r="A6" t="s">
        <v>159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D6"/>
  <sheetViews>
    <sheetView zoomScale="83" workbookViewId="0">
      <selection activeCell="A7" sqref="A7"/>
    </sheetView>
  </sheetViews>
  <sheetFormatPr defaultRowHeight="12.5"/>
  <cols>
    <col min="1" max="1" width="37.81640625" customWidth="1"/>
    <col min="2" max="2" width="20.54296875" customWidth="1"/>
    <col min="3" max="3" width="21.26953125" customWidth="1"/>
    <col min="4" max="4" width="12.54296875" customWidth="1"/>
    <col min="5" max="16" width="15.453125" customWidth="1"/>
    <col min="22" max="22" width="11.1796875" customWidth="1"/>
    <col min="26" max="26" width="10.453125" customWidth="1"/>
    <col min="27" max="27" width="10" customWidth="1"/>
    <col min="28" max="28" width="12.7265625" bestFit="1" customWidth="1"/>
    <col min="29" max="29" width="16" bestFit="1" customWidth="1"/>
    <col min="30" max="30" width="10" customWidth="1"/>
  </cols>
  <sheetData>
    <row r="2" spans="1:30" ht="46.5" customHeight="1">
      <c r="B2" s="1" t="s">
        <v>173</v>
      </c>
      <c r="C2" s="1" t="s">
        <v>174</v>
      </c>
      <c r="D2" s="1" t="s">
        <v>85</v>
      </c>
      <c r="E2" s="1" t="s">
        <v>175</v>
      </c>
      <c r="F2" s="1" t="s">
        <v>176</v>
      </c>
      <c r="G2" s="1" t="s">
        <v>177</v>
      </c>
      <c r="H2" s="1" t="s">
        <v>178</v>
      </c>
      <c r="I2" s="1" t="s">
        <v>179</v>
      </c>
      <c r="J2" s="1" t="s">
        <v>180</v>
      </c>
      <c r="K2" s="1" t="s">
        <v>181</v>
      </c>
      <c r="L2" s="1" t="s">
        <v>182</v>
      </c>
      <c r="M2" s="1" t="s">
        <v>183</v>
      </c>
      <c r="N2" s="1" t="s">
        <v>184</v>
      </c>
      <c r="O2" s="1" t="s">
        <v>185</v>
      </c>
      <c r="P2" s="1" t="s">
        <v>186</v>
      </c>
      <c r="Q2" s="4" t="s">
        <v>187</v>
      </c>
      <c r="R2" s="4"/>
      <c r="S2" s="4"/>
      <c r="T2" s="4"/>
      <c r="U2" s="4"/>
      <c r="V2" s="4"/>
      <c r="W2" s="4"/>
      <c r="X2" s="4"/>
      <c r="Y2" s="4" t="s">
        <v>188</v>
      </c>
      <c r="Z2" s="4"/>
      <c r="AA2" s="4"/>
      <c r="AB2" s="4" t="s">
        <v>189</v>
      </c>
      <c r="AC2" s="4" t="s">
        <v>190</v>
      </c>
      <c r="AD2" s="4" t="s">
        <v>67</v>
      </c>
    </row>
    <row r="3" spans="1:30" ht="62" customHeight="1">
      <c r="B3" s="2"/>
      <c r="C3" s="2"/>
      <c r="D3" s="2"/>
      <c r="E3" s="2"/>
      <c r="F3" s="2"/>
      <c r="G3" s="2"/>
      <c r="H3" s="2"/>
      <c r="I3" s="2"/>
      <c r="J3" s="2"/>
      <c r="K3" s="2"/>
      <c r="L3" s="2"/>
      <c r="M3" s="2"/>
      <c r="N3" s="2"/>
      <c r="O3" s="2"/>
      <c r="P3" s="2"/>
      <c r="Q3" s="6" t="s">
        <v>191</v>
      </c>
      <c r="R3" s="6" t="s">
        <v>192</v>
      </c>
      <c r="S3" s="6" t="s">
        <v>193</v>
      </c>
      <c r="T3" s="6" t="s">
        <v>194</v>
      </c>
      <c r="U3" s="6" t="s">
        <v>195</v>
      </c>
      <c r="V3" s="6" t="s">
        <v>196</v>
      </c>
      <c r="W3" s="6" t="s">
        <v>197</v>
      </c>
      <c r="X3" s="6" t="s">
        <v>198</v>
      </c>
      <c r="Y3" s="6" t="s">
        <v>199</v>
      </c>
      <c r="Z3" s="6" t="s">
        <v>200</v>
      </c>
      <c r="AA3" s="6" t="s">
        <v>201</v>
      </c>
      <c r="AB3" s="2"/>
      <c r="AC3" s="2"/>
      <c r="AD3" s="2"/>
    </row>
    <row r="4" spans="1:30">
      <c r="B4" s="14"/>
      <c r="C4" s="14"/>
      <c r="D4" s="14"/>
      <c r="E4" s="14"/>
      <c r="F4" s="14"/>
      <c r="G4" s="14"/>
      <c r="H4" s="14"/>
      <c r="I4" s="14"/>
      <c r="J4" s="14"/>
      <c r="K4" s="14"/>
      <c r="L4" s="14"/>
      <c r="M4" s="14">
        <v>24</v>
      </c>
      <c r="N4" s="15">
        <f ca="1">DATE(YEAR(TODAY()), MONTH(TODAY()+M4), DAY(TODAY()))</f>
        <v>46068</v>
      </c>
      <c r="O4" s="14"/>
      <c r="P4" s="14"/>
      <c r="Q4" s="14"/>
      <c r="R4" s="14"/>
      <c r="S4" s="14"/>
      <c r="T4" s="14"/>
      <c r="U4" s="14"/>
      <c r="V4" s="16" t="e">
        <f>S4/$R$4</f>
        <v>#DIV/0!</v>
      </c>
      <c r="W4" s="16" t="e">
        <f>T4/$R$4</f>
        <v>#DIV/0!</v>
      </c>
      <c r="X4" s="16" t="e">
        <f>U4/$Q$4</f>
        <v>#DIV/0!</v>
      </c>
      <c r="Y4" s="14"/>
      <c r="Z4" s="14"/>
      <c r="AA4" s="14"/>
      <c r="AB4" s="14"/>
      <c r="AC4" s="14"/>
      <c r="AD4" s="14"/>
    </row>
    <row r="5" spans="1:30">
      <c r="B5" s="14"/>
      <c r="C5" s="14"/>
      <c r="D5" s="14"/>
      <c r="E5" s="14"/>
      <c r="F5" s="14"/>
      <c r="G5" s="14"/>
      <c r="H5" s="14"/>
      <c r="I5" s="14"/>
      <c r="J5" s="14"/>
      <c r="K5" s="14"/>
      <c r="L5" s="15">
        <f ca="1">TODAY()</f>
        <v>46037</v>
      </c>
      <c r="M5" s="14">
        <v>21</v>
      </c>
      <c r="N5" s="15">
        <f ca="1">DATE(YEAR(L5),MONTH(L5)+M5,DAY(L5))</f>
        <v>46675</v>
      </c>
      <c r="O5" s="14"/>
      <c r="P5" s="14"/>
      <c r="Q5" s="14"/>
      <c r="R5" s="14"/>
      <c r="S5" s="14"/>
      <c r="T5" s="14"/>
      <c r="U5" s="14"/>
      <c r="V5" s="14"/>
      <c r="W5" s="14"/>
      <c r="X5" s="14"/>
      <c r="Y5" s="14"/>
      <c r="Z5" s="14"/>
      <c r="AA5" s="14"/>
      <c r="AB5" s="14"/>
      <c r="AC5" s="14"/>
      <c r="AD5" s="14"/>
    </row>
    <row r="6" spans="1:30">
      <c r="A6" t="s">
        <v>202</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Sources</vt:lpstr>
      <vt:lpstr>Data to be captured</vt:lpstr>
      <vt:lpstr>RE Potential</vt:lpstr>
      <vt:lpstr>Margin</vt:lpstr>
      <vt:lpstr>Non RE proposed RE Integration</vt:lpstr>
      <vt:lpstr>Transformation Capacity</vt:lpstr>
      <vt:lpstr>Element 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dc:creator>
  <cp:lastModifiedBy>Admin</cp:lastModifiedBy>
  <dcterms:created xsi:type="dcterms:W3CDTF">2025-08-25T12:15:10Z</dcterms:created>
  <dcterms:modified xsi:type="dcterms:W3CDTF">2026-01-15T01:19:19Z</dcterms:modified>
</cp:coreProperties>
</file>